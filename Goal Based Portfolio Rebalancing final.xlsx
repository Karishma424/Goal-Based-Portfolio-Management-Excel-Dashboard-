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bbca6c98419bf1f/Documents/"/>
    </mc:Choice>
  </mc:AlternateContent>
  <xr:revisionPtr revIDLastSave="1" documentId="8_{2F9011E6-BAA0-4A02-894E-FA006299D8A6}" xr6:coauthVersionLast="47" xr6:coauthVersionMax="47" xr10:uidLastSave="{07335BE7-FC60-4902-A0EC-0EB27B41ACE8}"/>
  <bookViews>
    <workbookView xWindow="-98" yWindow="-98" windowWidth="21795" windowHeight="12975" activeTab="5" xr2:uid="{C16D0229-7F3E-4542-9F8E-378268279121}"/>
  </bookViews>
  <sheets>
    <sheet name="Goals Input" sheetId="1" r:id="rId1"/>
    <sheet name="Asset_Allocation" sheetId="2" r:id="rId2"/>
    <sheet name="Combined_Portfolio" sheetId="3" r:id="rId3"/>
    <sheet name="Simulation" sheetId="4" r:id="rId4"/>
    <sheet name="Cash_Flow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6" l="1"/>
  <c r="AM9" i="6"/>
  <c r="AM10" i="6"/>
  <c r="AM11" i="6"/>
  <c r="AM8" i="6"/>
  <c r="Q7" i="6"/>
  <c r="Y7" i="6"/>
  <c r="K7" i="6"/>
  <c r="AG17" i="6"/>
  <c r="AG18" i="6"/>
  <c r="AG19" i="6"/>
  <c r="AG20" i="6"/>
  <c r="AG21" i="6"/>
  <c r="AG22" i="6"/>
  <c r="AG23" i="6"/>
  <c r="AG16" i="6"/>
  <c r="B7" i="6"/>
  <c r="F7" i="6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21" i="4"/>
  <c r="C21" i="4"/>
  <c r="D21" i="4"/>
  <c r="B20" i="4"/>
  <c r="C20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AJ23" i="6"/>
  <c r="AJ22" i="6"/>
  <c r="AJ21" i="6"/>
  <c r="AJ20" i="6"/>
  <c r="AJ19" i="6"/>
  <c r="AJ18" i="6"/>
  <c r="AJ17" i="6"/>
  <c r="AJ16" i="6"/>
  <c r="M6" i="4" a="1"/>
  <c r="M6" i="4"/>
  <c r="M7" i="4" a="1"/>
  <c r="M7" i="4"/>
  <c r="M8" i="4" a="1"/>
  <c r="M8" i="4"/>
  <c r="M9" i="4" a="1"/>
  <c r="M9" i="4"/>
  <c r="M10" i="4" a="1"/>
  <c r="M10" i="4"/>
  <c r="M11" i="4" a="1"/>
  <c r="M11" i="4"/>
  <c r="M12" i="4" a="1"/>
  <c r="M12" i="4"/>
  <c r="M13" i="4" a="1"/>
  <c r="M13" i="4"/>
  <c r="M14" i="4" a="1"/>
  <c r="M14" i="4"/>
  <c r="M15" i="4" a="1"/>
  <c r="M15" i="4"/>
  <c r="AI11" i="6"/>
  <c r="AI16" i="6" a="1"/>
  <c r="AH16" i="6" a="1"/>
  <c r="G6" i="1"/>
  <c r="B20" i="3"/>
  <c r="B6" i="4"/>
  <c r="L6" i="4"/>
  <c r="L7" i="4"/>
  <c r="L8" i="4"/>
  <c r="L9" i="4"/>
  <c r="L10" i="4"/>
  <c r="L11" i="4"/>
  <c r="L12" i="4"/>
  <c r="L13" i="4"/>
  <c r="L14" i="4"/>
  <c r="Q7" i="4"/>
  <c r="Q8" i="4"/>
  <c r="Q9" i="4"/>
  <c r="Q10" i="4"/>
  <c r="Q11" i="4"/>
  <c r="Q12" i="4"/>
  <c r="Q13" i="4"/>
  <c r="Q14" i="4"/>
  <c r="Q15" i="4"/>
  <c r="Q6" i="4"/>
  <c r="L15" i="4"/>
  <c r="S7" i="1"/>
  <c r="S8" i="1"/>
  <c r="S9" i="1"/>
  <c r="S10" i="1"/>
  <c r="S11" i="1"/>
  <c r="S12" i="1"/>
  <c r="S13" i="1"/>
  <c r="S6" i="1"/>
  <c r="G10" i="1"/>
  <c r="I10" i="3"/>
  <c r="I6" i="3"/>
  <c r="I7" i="3"/>
  <c r="I8" i="3"/>
  <c r="I9" i="3"/>
  <c r="I11" i="3"/>
  <c r="I12" i="3"/>
  <c r="I13" i="3"/>
  <c r="J6" i="3"/>
  <c r="W12" i="3"/>
  <c r="W13" i="3"/>
  <c r="T6" i="1"/>
  <c r="T7" i="1"/>
  <c r="T8" i="1"/>
  <c r="T9" i="1"/>
  <c r="T10" i="1"/>
  <c r="T11" i="1"/>
  <c r="T12" i="1"/>
  <c r="T13" i="1"/>
  <c r="C18" i="1"/>
  <c r="L6" i="1"/>
  <c r="K6" i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6" i="3"/>
  <c r="H14" i="1"/>
  <c r="D18" i="5"/>
  <c r="C18" i="5"/>
  <c r="E18" i="5" s="1"/>
  <c r="E7" i="5"/>
  <c r="E8" i="5"/>
  <c r="E9" i="5"/>
  <c r="E10" i="5"/>
  <c r="E11" i="5"/>
  <c r="E12" i="5"/>
  <c r="E13" i="5"/>
  <c r="E14" i="5"/>
  <c r="E15" i="5"/>
  <c r="E16" i="5"/>
  <c r="E17" i="5"/>
  <c r="E6" i="5"/>
  <c r="I14" i="1"/>
  <c r="F6" i="5"/>
  <c r="F7" i="5"/>
  <c r="F8" i="5"/>
  <c r="F9" i="5"/>
  <c r="F10" i="5"/>
  <c r="F11" i="5"/>
  <c r="F12" i="5"/>
  <c r="F13" i="5"/>
  <c r="F14" i="5"/>
  <c r="F15" i="5"/>
  <c r="F16" i="5"/>
  <c r="F17" i="5"/>
  <c r="B18" i="5"/>
  <c r="D14" i="1"/>
  <c r="G6" i="3"/>
  <c r="F6" i="3"/>
  <c r="E6" i="3"/>
  <c r="A7" i="3"/>
  <c r="A8" i="3"/>
  <c r="A9" i="3"/>
  <c r="A10" i="3"/>
  <c r="A11" i="3"/>
  <c r="A12" i="3"/>
  <c r="A13" i="3"/>
  <c r="A6" i="3"/>
  <c r="L7" i="1"/>
  <c r="L8" i="1"/>
  <c r="L9" i="1"/>
  <c r="L10" i="1"/>
  <c r="L11" i="1"/>
  <c r="L12" i="1"/>
  <c r="L13" i="1"/>
  <c r="G7" i="1"/>
  <c r="K7" i="1"/>
  <c r="G8" i="1"/>
  <c r="K8" i="1"/>
  <c r="G9" i="1"/>
  <c r="K9" i="1"/>
  <c r="K10" i="1"/>
  <c r="G11" i="1"/>
  <c r="K11" i="1"/>
  <c r="G12" i="1"/>
  <c r="K12" i="1"/>
  <c r="G13" i="1"/>
  <c r="K13" i="1"/>
  <c r="AH23" i="6" l="1"/>
  <c r="AH22" i="6"/>
  <c r="AH21" i="6"/>
  <c r="AH20" i="6"/>
  <c r="AH19" i="6"/>
  <c r="AH18" i="6"/>
  <c r="AH17" i="6"/>
  <c r="AH16" i="6"/>
  <c r="AI23" i="6"/>
  <c r="AI22" i="6"/>
  <c r="AI21" i="6"/>
  <c r="AI20" i="6"/>
  <c r="AI19" i="6"/>
  <c r="AI18" i="6"/>
  <c r="AI17" i="6"/>
  <c r="AI16" i="6"/>
  <c r="Q13" i="1"/>
  <c r="P13" i="1"/>
  <c r="O13" i="1"/>
  <c r="N13" i="1"/>
  <c r="Q12" i="1"/>
  <c r="P12" i="1"/>
  <c r="O12" i="1"/>
  <c r="N12" i="1"/>
  <c r="Q11" i="1"/>
  <c r="P11" i="1"/>
  <c r="O11" i="1"/>
  <c r="N11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D6" i="3"/>
  <c r="X6" i="1"/>
  <c r="W6" i="1"/>
  <c r="V6" i="1"/>
  <c r="U6" i="1"/>
  <c r="X12" i="1"/>
  <c r="W12" i="1"/>
  <c r="V12" i="1"/>
  <c r="U12" i="1"/>
  <c r="X11" i="1"/>
  <c r="W11" i="1"/>
  <c r="V11" i="1"/>
  <c r="U11" i="1"/>
  <c r="X9" i="1"/>
  <c r="W9" i="1"/>
  <c r="V9" i="1"/>
  <c r="U9" i="1"/>
  <c r="X7" i="1"/>
  <c r="W7" i="1"/>
  <c r="V7" i="1"/>
  <c r="U7" i="1"/>
  <c r="X13" i="1"/>
  <c r="W13" i="1"/>
  <c r="V13" i="1"/>
  <c r="U13" i="1"/>
  <c r="Q10" i="1"/>
  <c r="P10" i="1"/>
  <c r="O10" i="1"/>
  <c r="N10" i="1"/>
  <c r="X8" i="1"/>
  <c r="W8" i="1"/>
  <c r="V8" i="1"/>
  <c r="U8" i="1"/>
  <c r="X10" i="1"/>
  <c r="W10" i="1"/>
  <c r="V10" i="1"/>
  <c r="U10" i="1"/>
  <c r="N6" i="3"/>
  <c r="R6" i="3" s="1"/>
  <c r="M6" i="3"/>
  <c r="Q6" i="3" s="1"/>
  <c r="U6" i="3" s="1"/>
  <c r="L6" i="3"/>
  <c r="P6" i="3" s="1"/>
  <c r="T6" i="3" s="1"/>
  <c r="K6" i="3"/>
  <c r="O6" i="3" s="1"/>
  <c r="S6" i="3" s="1"/>
  <c r="M7" i="3"/>
  <c r="M8" i="3"/>
  <c r="M9" i="3"/>
  <c r="M10" i="3"/>
  <c r="M11" i="3"/>
  <c r="M12" i="3"/>
  <c r="M13" i="3"/>
  <c r="L7" i="3"/>
  <c r="L8" i="3"/>
  <c r="L9" i="3"/>
  <c r="L10" i="3"/>
  <c r="L11" i="3"/>
  <c r="L12" i="3"/>
  <c r="L13" i="3"/>
  <c r="K7" i="3"/>
  <c r="K8" i="3"/>
  <c r="K9" i="3"/>
  <c r="K10" i="3"/>
  <c r="K11" i="3"/>
  <c r="K12" i="3"/>
  <c r="K13" i="3"/>
  <c r="J7" i="3"/>
  <c r="J8" i="3"/>
  <c r="J9" i="3"/>
  <c r="J10" i="3"/>
  <c r="J11" i="3"/>
  <c r="J12" i="3"/>
  <c r="J13" i="3"/>
  <c r="B13" i="3"/>
  <c r="B12" i="3"/>
  <c r="B11" i="3"/>
  <c r="B10" i="3"/>
  <c r="B9" i="3"/>
  <c r="B8" i="3"/>
  <c r="B7" i="3"/>
  <c r="G14" i="1"/>
  <c r="G13" i="3"/>
  <c r="Q13" i="3" s="1"/>
  <c r="U13" i="3" s="1"/>
  <c r="F13" i="3"/>
  <c r="P13" i="3" s="1"/>
  <c r="T13" i="3" s="1"/>
  <c r="E13" i="3"/>
  <c r="O13" i="3" s="1"/>
  <c r="S13" i="3" s="1"/>
  <c r="D13" i="3"/>
  <c r="N13" i="3" s="1"/>
  <c r="R13" i="3" s="1"/>
  <c r="G12" i="3"/>
  <c r="Q12" i="3" s="1"/>
  <c r="U12" i="3" s="1"/>
  <c r="F12" i="3"/>
  <c r="P12" i="3" s="1"/>
  <c r="T12" i="3" s="1"/>
  <c r="E12" i="3"/>
  <c r="O12" i="3" s="1"/>
  <c r="S12" i="3" s="1"/>
  <c r="D12" i="3"/>
  <c r="N12" i="3" s="1"/>
  <c r="R12" i="3" s="1"/>
  <c r="G11" i="3"/>
  <c r="Q11" i="3" s="1"/>
  <c r="U11" i="3" s="1"/>
  <c r="F11" i="3"/>
  <c r="P11" i="3" s="1"/>
  <c r="T11" i="3" s="1"/>
  <c r="E11" i="3"/>
  <c r="O11" i="3" s="1"/>
  <c r="S11" i="3" s="1"/>
  <c r="D11" i="3"/>
  <c r="N11" i="3" s="1"/>
  <c r="R11" i="3" s="1"/>
  <c r="G10" i="3"/>
  <c r="Q10" i="3" s="1"/>
  <c r="U10" i="3" s="1"/>
  <c r="F10" i="3"/>
  <c r="P10" i="3" s="1"/>
  <c r="T10" i="3" s="1"/>
  <c r="E10" i="3"/>
  <c r="O10" i="3" s="1"/>
  <c r="S10" i="3" s="1"/>
  <c r="D10" i="3"/>
  <c r="N10" i="3" s="1"/>
  <c r="R10" i="3" s="1"/>
  <c r="G9" i="3"/>
  <c r="Q9" i="3" s="1"/>
  <c r="U9" i="3" s="1"/>
  <c r="F9" i="3"/>
  <c r="P9" i="3" s="1"/>
  <c r="T9" i="3" s="1"/>
  <c r="E9" i="3"/>
  <c r="O9" i="3" s="1"/>
  <c r="S9" i="3" s="1"/>
  <c r="D9" i="3"/>
  <c r="N9" i="3" s="1"/>
  <c r="R9" i="3" s="1"/>
  <c r="G8" i="3"/>
  <c r="Q8" i="3" s="1"/>
  <c r="U8" i="3" s="1"/>
  <c r="F8" i="3"/>
  <c r="P8" i="3" s="1"/>
  <c r="T8" i="3" s="1"/>
  <c r="E8" i="3"/>
  <c r="O8" i="3" s="1"/>
  <c r="S8" i="3" s="1"/>
  <c r="D8" i="3"/>
  <c r="N8" i="3" s="1"/>
  <c r="R8" i="3" s="1"/>
  <c r="G7" i="3"/>
  <c r="Q7" i="3" s="1"/>
  <c r="U7" i="3" s="1"/>
  <c r="F7" i="3"/>
  <c r="P7" i="3" s="1"/>
  <c r="T7" i="3" s="1"/>
  <c r="E7" i="3"/>
  <c r="O7" i="3" s="1"/>
  <c r="S7" i="3" s="1"/>
  <c r="D7" i="3"/>
  <c r="N7" i="3" s="1"/>
  <c r="R7" i="3" s="1"/>
  <c r="V7" i="3" s="1"/>
  <c r="C23" i="5"/>
  <c r="G6" i="5"/>
  <c r="G17" i="5"/>
  <c r="G16" i="5"/>
  <c r="G15" i="5"/>
  <c r="G14" i="5"/>
  <c r="G13" i="5"/>
  <c r="G12" i="5"/>
  <c r="G11" i="5"/>
  <c r="G10" i="5"/>
  <c r="G9" i="5"/>
  <c r="G8" i="5"/>
  <c r="G7" i="5"/>
  <c r="D23" i="5"/>
  <c r="H6" i="4" s="1"/>
  <c r="F18" i="5"/>
  <c r="G18" i="5" s="1"/>
  <c r="C24" i="5"/>
  <c r="E23" i="5"/>
  <c r="B14" i="3"/>
  <c r="W6" i="3" l="1"/>
  <c r="V8" i="3"/>
  <c r="W7" i="3"/>
  <c r="V9" i="3"/>
  <c r="W8" i="3"/>
  <c r="V10" i="3"/>
  <c r="W9" i="3"/>
  <c r="V11" i="3"/>
  <c r="W10" i="3"/>
  <c r="V12" i="3"/>
  <c r="W11" i="3"/>
  <c r="V13" i="3"/>
  <c r="V6" i="3"/>
  <c r="C6" i="3"/>
  <c r="M6" i="1"/>
  <c r="R6" i="1" s="1"/>
  <c r="M13" i="1"/>
  <c r="R13" i="1" s="1"/>
  <c r="M12" i="1"/>
  <c r="R12" i="1" s="1"/>
  <c r="M11" i="1"/>
  <c r="R11" i="1" s="1"/>
  <c r="M10" i="1"/>
  <c r="R10" i="1" s="1"/>
  <c r="M9" i="1"/>
  <c r="R9" i="1" s="1"/>
  <c r="M8" i="1"/>
  <c r="R8" i="1" s="1"/>
  <c r="M7" i="1"/>
  <c r="R7" i="1" s="1"/>
  <c r="D24" i="5"/>
  <c r="H7" i="4" s="1"/>
  <c r="H18" i="5"/>
  <c r="I18" i="5"/>
  <c r="I7" i="5"/>
  <c r="H7" i="5"/>
  <c r="I8" i="5"/>
  <c r="H8" i="5"/>
  <c r="I9" i="5"/>
  <c r="H9" i="5"/>
  <c r="I10" i="5"/>
  <c r="H10" i="5"/>
  <c r="I11" i="5"/>
  <c r="H11" i="5"/>
  <c r="I12" i="5"/>
  <c r="H12" i="5"/>
  <c r="I13" i="5"/>
  <c r="H13" i="5"/>
  <c r="I14" i="5"/>
  <c r="H14" i="5"/>
  <c r="I15" i="5"/>
  <c r="H15" i="5"/>
  <c r="I16" i="5"/>
  <c r="H16" i="5"/>
  <c r="I17" i="5"/>
  <c r="H17" i="5"/>
  <c r="I6" i="5"/>
  <c r="H6" i="5"/>
  <c r="F23" i="5"/>
  <c r="C25" i="5"/>
  <c r="E24" i="5"/>
  <c r="C7" i="3"/>
  <c r="H7" i="3" s="1"/>
  <c r="C8" i="3"/>
  <c r="H8" i="3" s="1"/>
  <c r="C9" i="3"/>
  <c r="H9" i="3" s="1"/>
  <c r="C10" i="3"/>
  <c r="H10" i="3" s="1"/>
  <c r="C11" i="3"/>
  <c r="H11" i="3" s="1"/>
  <c r="C12" i="3"/>
  <c r="H12" i="3" s="1"/>
  <c r="C13" i="3"/>
  <c r="H13" i="3" s="1"/>
  <c r="C14" i="3"/>
  <c r="B23" i="3"/>
  <c r="B22" i="3"/>
  <c r="H6" i="3" l="1"/>
  <c r="N6" i="4"/>
  <c r="Q20" i="4"/>
  <c r="I20" i="4" s="1"/>
  <c r="P20" i="4"/>
  <c r="H20" i="4" s="1"/>
  <c r="O20" i="4"/>
  <c r="G20" i="4" s="1"/>
  <c r="N20" i="4"/>
  <c r="F20" i="4" s="1"/>
  <c r="M20" i="4"/>
  <c r="L20" i="4"/>
  <c r="D20" i="4" s="1"/>
  <c r="K20" i="4"/>
  <c r="J20" i="4"/>
  <c r="D25" i="5"/>
  <c r="H8" i="4" s="1"/>
  <c r="F24" i="5"/>
  <c r="C26" i="5"/>
  <c r="E25" i="5"/>
  <c r="P15" i="4" l="1"/>
  <c r="AI10" i="6" s="1"/>
  <c r="O15" i="4"/>
  <c r="AI9" i="6" s="1"/>
  <c r="N15" i="4"/>
  <c r="P14" i="4"/>
  <c r="O14" i="4"/>
  <c r="N14" i="4"/>
  <c r="G14" i="4" s="1"/>
  <c r="P13" i="4"/>
  <c r="O13" i="4"/>
  <c r="N13" i="4"/>
  <c r="G13" i="4" s="1"/>
  <c r="P11" i="4"/>
  <c r="O11" i="4"/>
  <c r="N11" i="4"/>
  <c r="G11" i="4" s="1"/>
  <c r="P10" i="4"/>
  <c r="O10" i="4"/>
  <c r="N10" i="4"/>
  <c r="G10" i="4" s="1"/>
  <c r="P9" i="4"/>
  <c r="O9" i="4"/>
  <c r="N9" i="4"/>
  <c r="G9" i="4" s="1"/>
  <c r="P8" i="4"/>
  <c r="O8" i="4"/>
  <c r="N8" i="4"/>
  <c r="G8" i="4" s="1"/>
  <c r="P7" i="4"/>
  <c r="O7" i="4"/>
  <c r="N7" i="4"/>
  <c r="G7" i="4" s="1"/>
  <c r="P12" i="4"/>
  <c r="O12" i="4"/>
  <c r="N12" i="4"/>
  <c r="G12" i="4" s="1"/>
  <c r="J21" i="4"/>
  <c r="D26" i="5"/>
  <c r="H9" i="4" s="1"/>
  <c r="K21" i="4"/>
  <c r="L21" i="4"/>
  <c r="M21" i="4"/>
  <c r="N21" i="4"/>
  <c r="O21" i="4"/>
  <c r="P21" i="4"/>
  <c r="Q21" i="4"/>
  <c r="F25" i="5"/>
  <c r="C27" i="5"/>
  <c r="C28" i="5" s="1"/>
  <c r="C29" i="5" s="1"/>
  <c r="C30" i="5" s="1"/>
  <c r="C31" i="5" s="1"/>
  <c r="C32" i="5" s="1"/>
  <c r="E26" i="5"/>
  <c r="AI8" i="6" l="1"/>
  <c r="G15" i="4"/>
  <c r="Q22" i="4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I21" i="4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P22" i="4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H21" i="4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O22" i="4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G21" i="4"/>
  <c r="G22" i="4" s="1"/>
  <c r="N22" i="4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F21" i="4"/>
  <c r="F22" i="4" s="1"/>
  <c r="F23" i="4" s="1"/>
  <c r="F24" i="4" s="1"/>
  <c r="F25" i="4" s="1"/>
  <c r="F26" i="4" s="1"/>
  <c r="M22" i="4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L22" i="4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K22" i="4"/>
  <c r="J22" i="4"/>
  <c r="AG20" i="4"/>
  <c r="AF20" i="4"/>
  <c r="AE20" i="4"/>
  <c r="AD20" i="4"/>
  <c r="AC20" i="4"/>
  <c r="AB20" i="4"/>
  <c r="AA20" i="4"/>
  <c r="Z20" i="4"/>
  <c r="D27" i="5"/>
  <c r="F26" i="5"/>
  <c r="K23" i="4" l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J23" i="4"/>
  <c r="D22" i="4"/>
  <c r="D23" i="4" s="1"/>
  <c r="D24" i="4" s="1"/>
  <c r="D25" i="4" s="1"/>
  <c r="D26" i="4" s="1"/>
  <c r="D27" i="4" s="1"/>
  <c r="D28" i="4" s="1"/>
  <c r="F27" i="4"/>
  <c r="F28" i="4" s="1"/>
  <c r="F29" i="4" s="1"/>
  <c r="F30" i="4" s="1"/>
  <c r="F31" i="4" s="1"/>
  <c r="F32" i="4" s="1"/>
  <c r="F33" i="4" s="1"/>
  <c r="F34" i="4" s="1"/>
  <c r="D28" i="5"/>
  <c r="H10" i="4"/>
  <c r="E27" i="5"/>
  <c r="F27" i="5" s="1"/>
  <c r="Z21" i="4"/>
  <c r="AA21" i="4"/>
  <c r="AB21" i="4"/>
  <c r="AC21" i="4"/>
  <c r="AD21" i="4"/>
  <c r="AE21" i="4"/>
  <c r="AF21" i="4"/>
  <c r="AG21" i="4"/>
  <c r="D29" i="4" l="1"/>
  <c r="D30" i="4" s="1"/>
  <c r="D31" i="4" s="1"/>
  <c r="D32" i="4" s="1"/>
  <c r="D33" i="4" s="1"/>
  <c r="D34" i="4" s="1"/>
  <c r="J24" i="4"/>
  <c r="AG22" i="4"/>
  <c r="AF22" i="4"/>
  <c r="AE22" i="4"/>
  <c r="AD22" i="4"/>
  <c r="AC22" i="4"/>
  <c r="AB22" i="4"/>
  <c r="AA22" i="4"/>
  <c r="Z22" i="4"/>
  <c r="E28" i="5"/>
  <c r="F28" i="5" s="1"/>
  <c r="D29" i="5"/>
  <c r="H11" i="4"/>
  <c r="J25" i="4" l="1"/>
  <c r="J26" i="4" s="1"/>
  <c r="J27" i="4" s="1"/>
  <c r="J28" i="4" s="1"/>
  <c r="J29" i="4" s="1"/>
  <c r="J30" i="4" s="1"/>
  <c r="J31" i="4" s="1"/>
  <c r="J32" i="4" s="1"/>
  <c r="J33" i="4" s="1"/>
  <c r="J34" i="4" s="1"/>
  <c r="E29" i="5"/>
  <c r="F29" i="5" s="1"/>
  <c r="D30" i="5"/>
  <c r="H12" i="4"/>
  <c r="Z23" i="4"/>
  <c r="AA23" i="4"/>
  <c r="AB23" i="4"/>
  <c r="AC23" i="4"/>
  <c r="AD23" i="4"/>
  <c r="AE23" i="4"/>
  <c r="AF23" i="4"/>
  <c r="AG23" i="4"/>
  <c r="AG24" i="4" l="1"/>
  <c r="AF24" i="4"/>
  <c r="AE24" i="4"/>
  <c r="AD24" i="4"/>
  <c r="AC24" i="4"/>
  <c r="AB24" i="4"/>
  <c r="AA24" i="4"/>
  <c r="Z24" i="4"/>
  <c r="E30" i="5"/>
  <c r="F30" i="5" s="1"/>
  <c r="D31" i="5"/>
  <c r="H13" i="4"/>
  <c r="E31" i="5" l="1"/>
  <c r="F31" i="5" s="1"/>
  <c r="D32" i="5"/>
  <c r="H14" i="4"/>
  <c r="Z25" i="4"/>
  <c r="AA25" i="4"/>
  <c r="AB25" i="4"/>
  <c r="AC25" i="4"/>
  <c r="AD25" i="4"/>
  <c r="AE25" i="4"/>
  <c r="AF25" i="4"/>
  <c r="AG25" i="4"/>
  <c r="AG26" i="4" l="1"/>
  <c r="AF26" i="4"/>
  <c r="AE26" i="4"/>
  <c r="AD26" i="4"/>
  <c r="AC26" i="4"/>
  <c r="AB26" i="4"/>
  <c r="AA26" i="4"/>
  <c r="Z26" i="4"/>
  <c r="E32" i="5"/>
  <c r="F32" i="5" s="1"/>
  <c r="H15" i="4"/>
  <c r="Z27" i="4" l="1"/>
  <c r="AA27" i="4"/>
  <c r="AB27" i="4"/>
  <c r="AC27" i="4"/>
  <c r="AD27" i="4"/>
  <c r="AE27" i="4"/>
  <c r="AF27" i="4"/>
  <c r="AG27" i="4"/>
  <c r="AG28" i="4" l="1"/>
  <c r="AF28" i="4"/>
  <c r="AE28" i="4"/>
  <c r="AD28" i="4"/>
  <c r="AC28" i="4"/>
  <c r="AB28" i="4"/>
  <c r="AA28" i="4"/>
  <c r="Z28" i="4"/>
  <c r="Z29" i="4" l="1"/>
  <c r="AA29" i="4"/>
  <c r="AB29" i="4"/>
  <c r="AC29" i="4"/>
  <c r="AD29" i="4"/>
  <c r="AE29" i="4"/>
  <c r="AF29" i="4"/>
  <c r="AG29" i="4"/>
  <c r="AG30" i="4" l="1"/>
  <c r="AF30" i="4"/>
  <c r="AE30" i="4"/>
  <c r="AD30" i="4"/>
  <c r="AC30" i="4"/>
  <c r="AB30" i="4"/>
  <c r="AA30" i="4"/>
  <c r="Z30" i="4"/>
  <c r="Z31" i="4" l="1"/>
  <c r="AA31" i="4"/>
  <c r="AB31" i="4"/>
  <c r="AC31" i="4"/>
  <c r="AD31" i="4"/>
  <c r="AE31" i="4"/>
  <c r="AF31" i="4"/>
  <c r="AG31" i="4"/>
  <c r="AG32" i="4" l="1"/>
  <c r="AF32" i="4"/>
  <c r="AE32" i="4"/>
  <c r="AD32" i="4"/>
  <c r="AC32" i="4"/>
  <c r="AB32" i="4"/>
  <c r="AA32" i="4"/>
  <c r="Z32" i="4"/>
  <c r="Z34" i="4" l="1"/>
  <c r="Z33" i="4"/>
  <c r="AA34" i="4"/>
  <c r="AA33" i="4"/>
  <c r="AB34" i="4"/>
  <c r="AB33" i="4"/>
  <c r="AC34" i="4"/>
  <c r="AC33" i="4"/>
  <c r="AD34" i="4"/>
  <c r="AD33" i="4"/>
  <c r="AE34" i="4"/>
  <c r="AE33" i="4"/>
  <c r="AF34" i="4"/>
  <c r="AF33" i="4"/>
  <c r="AG34" i="4"/>
  <c r="AG33" i="4"/>
  <c r="C21" i="3"/>
  <c r="C20" i="3"/>
  <c r="C22" i="3"/>
  <c r="C23" i="3"/>
  <c r="C24" i="3"/>
  <c r="D23" i="3"/>
  <c r="E23" i="3"/>
  <c r="D22" i="3"/>
  <c r="E22" i="3"/>
  <c r="B21" i="3"/>
  <c r="D21" i="3"/>
  <c r="E21" i="3"/>
  <c r="B24" i="3"/>
  <c r="D20" i="3"/>
  <c r="E20" i="3"/>
  <c r="P6" i="4"/>
  <c r="O6" i="4"/>
  <c r="G6" i="4" s="1"/>
  <c r="I6" i="4" s="1"/>
  <c r="B7" i="4" s="1"/>
  <c r="I7" i="4" l="1"/>
  <c r="B8" i="4" s="1"/>
  <c r="J6" i="4"/>
  <c r="I8" i="4" l="1"/>
  <c r="B9" i="4" s="1"/>
  <c r="J7" i="4"/>
  <c r="I9" i="4" l="1"/>
  <c r="B10" i="4" s="1"/>
  <c r="J8" i="4"/>
  <c r="I10" i="4" l="1"/>
  <c r="B11" i="4" s="1"/>
  <c r="J9" i="4"/>
  <c r="I11" i="4" l="1"/>
  <c r="B12" i="4" s="1"/>
  <c r="J10" i="4"/>
  <c r="I12" i="4" l="1"/>
  <c r="B13" i="4" s="1"/>
  <c r="J11" i="4"/>
  <c r="J12" i="4" l="1"/>
  <c r="I13" i="4"/>
  <c r="B14" i="4" s="1"/>
  <c r="J13" i="4" l="1"/>
  <c r="I14" i="4"/>
  <c r="B15" i="4" l="1"/>
  <c r="J14" i="4"/>
  <c r="I15" i="4"/>
  <c r="J15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<sst xmlns="http://schemas.openxmlformats.org/spreadsheetml/2006/main" count="246" uniqueCount="198">
  <si>
    <t>Goal Name</t>
  </si>
  <si>
    <t>Monthly SIP</t>
  </si>
  <si>
    <t>Required Return</t>
  </si>
  <si>
    <t>Time Horizon (Years)</t>
  </si>
  <si>
    <t>Inflation %</t>
  </si>
  <si>
    <t>Future Value</t>
  </si>
  <si>
    <t>Present Value</t>
  </si>
  <si>
    <t>Risk Profile</t>
  </si>
  <si>
    <t>Weight</t>
  </si>
  <si>
    <t>Category</t>
  </si>
  <si>
    <t>Emergency Fund</t>
  </si>
  <si>
    <t>Essential</t>
  </si>
  <si>
    <t>High</t>
  </si>
  <si>
    <t>Vacation</t>
  </si>
  <si>
    <t>Aspirational</t>
  </si>
  <si>
    <t>Low</t>
  </si>
  <si>
    <t>Car Down Payment</t>
  </si>
  <si>
    <t>Important</t>
  </si>
  <si>
    <t>Medium</t>
  </si>
  <si>
    <t>Education Fund</t>
  </si>
  <si>
    <t>Retirement</t>
  </si>
  <si>
    <t>Marriage</t>
  </si>
  <si>
    <t>Home Upgrade</t>
  </si>
  <si>
    <t>Philanthropy</t>
  </si>
  <si>
    <t>Priority Level</t>
  </si>
  <si>
    <t>Target Amount (Today ₹)</t>
  </si>
  <si>
    <t>Current Savings</t>
  </si>
  <si>
    <t>Conservative</t>
  </si>
  <si>
    <t>Moderate</t>
  </si>
  <si>
    <t>Aggressive</t>
  </si>
  <si>
    <t xml:space="preserve">GOALS TABLE </t>
  </si>
  <si>
    <t>Equity %</t>
  </si>
  <si>
    <t>Debt %</t>
  </si>
  <si>
    <t>Alternatives %</t>
  </si>
  <si>
    <t>Large Cap %</t>
  </si>
  <si>
    <t>Mid Cap %</t>
  </si>
  <si>
    <t>Small Cap %</t>
  </si>
  <si>
    <t>Corp Bonds %</t>
  </si>
  <si>
    <t>Domestic %</t>
  </si>
  <si>
    <t>International %</t>
  </si>
  <si>
    <t>Govt Bonds %</t>
  </si>
  <si>
    <t>Precious Metals %</t>
  </si>
  <si>
    <t>Asset_Allocation</t>
  </si>
  <si>
    <t>Combined_Portfolio</t>
  </si>
  <si>
    <t>Target FV</t>
  </si>
  <si>
    <t xml:space="preserve">Weight  </t>
  </si>
  <si>
    <t>Goal</t>
  </si>
  <si>
    <t>Total</t>
  </si>
  <si>
    <t>Equity</t>
  </si>
  <si>
    <t>Dedt</t>
  </si>
  <si>
    <t>Precious Metals</t>
  </si>
  <si>
    <t>Alternatives</t>
  </si>
  <si>
    <t>Simulation</t>
  </si>
  <si>
    <t>Year</t>
  </si>
  <si>
    <t>Portfolio Value</t>
  </si>
  <si>
    <t>Equity Return</t>
  </si>
  <si>
    <t>Debt Return</t>
  </si>
  <si>
    <t>Portfolio Return</t>
  </si>
  <si>
    <t>New Value</t>
  </si>
  <si>
    <t>Funded Ratio</t>
  </si>
  <si>
    <t>Cash_Flow</t>
  </si>
  <si>
    <t>Month</t>
  </si>
  <si>
    <t>Income</t>
  </si>
  <si>
    <t>SIP Total</t>
  </si>
  <si>
    <t>Surplus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</si>
  <si>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</si>
  <si>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</si>
  <si>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</si>
  <si>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</si>
  <si>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</si>
  <si>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</si>
  <si>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</si>
  <si>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</si>
  <si>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</si>
  <si>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</si>
  <si>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</si>
  <si>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</si>
  <si>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</si>
  <si>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Fixed Expenses</t>
  </si>
  <si>
    <t>Variable Expenses</t>
  </si>
  <si>
    <t>Total Expenses</t>
  </si>
  <si>
    <t>Annual Total</t>
  </si>
  <si>
    <t>Metals Return</t>
  </si>
  <si>
    <t>Alt Return</t>
  </si>
  <si>
    <t>SIP (Yearly)</t>
  </si>
  <si>
    <t>Saving %</t>
  </si>
  <si>
    <t>Annual Cash Flow</t>
  </si>
  <si>
    <t>Monthy Cash Flow</t>
  </si>
  <si>
    <t>Salary Growth</t>
  </si>
  <si>
    <t>Expense Inflation</t>
  </si>
  <si>
    <t>Total Income</t>
  </si>
  <si>
    <t>Savings %</t>
  </si>
  <si>
    <t>Year 1</t>
  </si>
  <si>
    <t>Year 2</t>
  </si>
  <si>
    <t>Year 3</t>
  </si>
  <si>
    <t>Year 4</t>
  </si>
  <si>
    <t>Year 5</t>
  </si>
  <si>
    <t>Total SIP (5% incerse every year)</t>
  </si>
  <si>
    <t>Year 6</t>
  </si>
  <si>
    <t>Year 7</t>
  </si>
  <si>
    <t>Year 8</t>
  </si>
  <si>
    <t>Year 9</t>
  </si>
  <si>
    <t>Year 10</t>
  </si>
  <si>
    <t>Goal SIP</t>
  </si>
  <si>
    <t>Combined  portfolio Simulation</t>
  </si>
  <si>
    <t>Multiple Goal Simulation</t>
  </si>
  <si>
    <t xml:space="preserve"> Year</t>
  </si>
  <si>
    <t xml:space="preserve">Philanthropy </t>
  </si>
  <si>
    <t>Emergency Fund SIP</t>
  </si>
  <si>
    <t>Vacation SIP</t>
  </si>
  <si>
    <t>Car Down Payment SIP</t>
  </si>
  <si>
    <t xml:space="preserve">Education Fund SIP </t>
  </si>
  <si>
    <t>Retirement SIP</t>
  </si>
  <si>
    <t>Marriage SIP</t>
  </si>
  <si>
    <t>Home Upgrade SIP</t>
  </si>
  <si>
    <t>Philanthropy SIP</t>
  </si>
  <si>
    <t>Emergency Fund Return</t>
  </si>
  <si>
    <t>Vacation Return</t>
  </si>
  <si>
    <t>Car Return</t>
  </si>
  <si>
    <t>Education Return</t>
  </si>
  <si>
    <t>Retirement Return</t>
  </si>
  <si>
    <t>Marriage Return</t>
  </si>
  <si>
    <t>Home Return</t>
  </si>
  <si>
    <t>Philanthropy Return</t>
  </si>
  <si>
    <t>Emergency Funded</t>
  </si>
  <si>
    <t>Vacation Funded</t>
  </si>
  <si>
    <t>Car Funded</t>
  </si>
  <si>
    <t>Education Funded</t>
  </si>
  <si>
    <t>Retirement Funded</t>
  </si>
  <si>
    <t>Marriage Funded</t>
  </si>
  <si>
    <t>Home Funded</t>
  </si>
  <si>
    <t>Philanthropy Funded</t>
  </si>
  <si>
    <t xml:space="preserve">Total SIP ANNUAL </t>
  </si>
  <si>
    <t>Monthly SIP (assumed)</t>
  </si>
  <si>
    <t>Annual SIP</t>
  </si>
  <si>
    <t>Goal SIP (according to weight)</t>
  </si>
  <si>
    <t xml:space="preserve">SIP Growth </t>
  </si>
  <si>
    <t>Control input (every year)</t>
  </si>
  <si>
    <t>Years Left</t>
  </si>
  <si>
    <t xml:space="preserve">Risk Stage </t>
  </si>
  <si>
    <t>Equity%</t>
  </si>
  <si>
    <t>Debt%</t>
  </si>
  <si>
    <t>Glide Path Table</t>
  </si>
  <si>
    <t>&gt;15</t>
  </si>
  <si>
    <t>10 to 15</t>
  </si>
  <si>
    <t>7 to 10</t>
  </si>
  <si>
    <t>4 to 7</t>
  </si>
  <si>
    <t>1 to 3</t>
  </si>
  <si>
    <t>Growth</t>
  </si>
  <si>
    <t>Balanced</t>
  </si>
  <si>
    <t xml:space="preserve">Years Left </t>
  </si>
  <si>
    <t>Target Debt %</t>
  </si>
  <si>
    <t>Target  Precious Metals %</t>
  </si>
  <si>
    <t>Target Alternatives %</t>
  </si>
  <si>
    <t>Target Equity %</t>
  </si>
  <si>
    <t>Equity Drift</t>
  </si>
  <si>
    <t>Debt Drift</t>
  </si>
  <si>
    <t>Precious Metals Drift</t>
  </si>
  <si>
    <t xml:space="preserve"> Alternatives Drift</t>
  </si>
  <si>
    <t xml:space="preserve">Actual - Target </t>
  </si>
  <si>
    <t xml:space="preserve">Equity Flag </t>
  </si>
  <si>
    <t xml:space="preserve">Debt Flag </t>
  </si>
  <si>
    <t xml:space="preserve">Precious Metals Flag </t>
  </si>
  <si>
    <t xml:space="preserve"> Alternatives Flag</t>
  </si>
  <si>
    <t xml:space="preserve">Overall Portfolio Rebalance Flag </t>
  </si>
  <si>
    <t xml:space="preserve">Rebalance Reason </t>
  </si>
  <si>
    <t>Actual %</t>
  </si>
  <si>
    <t xml:space="preserve">Target % </t>
  </si>
  <si>
    <t xml:space="preserve">Drift </t>
  </si>
  <si>
    <t>Rebalance Flag</t>
  </si>
  <si>
    <t xml:space="preserve">Final Portfolio Calculation </t>
  </si>
  <si>
    <t xml:space="preserve">Years </t>
  </si>
  <si>
    <t>Metals %</t>
  </si>
  <si>
    <t>Alit %</t>
  </si>
  <si>
    <t>Avg Years Left</t>
  </si>
  <si>
    <t xml:space="preserve">Hepler table </t>
  </si>
  <si>
    <t>Asset class</t>
  </si>
  <si>
    <t>According to the Glide Path Table</t>
  </si>
  <si>
    <t>According to First year allocation</t>
  </si>
  <si>
    <t>Asset</t>
  </si>
  <si>
    <t>Debt</t>
  </si>
  <si>
    <t xml:space="preserve">Metals </t>
  </si>
  <si>
    <t>Alternative</t>
  </si>
  <si>
    <t xml:space="preserve">Weight </t>
  </si>
  <si>
    <t xml:space="preserve">Goals </t>
  </si>
  <si>
    <t xml:space="preserve">Target </t>
  </si>
  <si>
    <t xml:space="preserve">Achieved </t>
  </si>
  <si>
    <t>Data As Of Year</t>
  </si>
  <si>
    <t>TOTAL PORTFOLIO VALUE</t>
  </si>
  <si>
    <t>TOTAL GOALS</t>
  </si>
  <si>
    <t>GOALS ACHIEVED</t>
  </si>
  <si>
    <t>CURRENT RISK STAGE</t>
  </si>
  <si>
    <t>REBALANCE REQUIRED</t>
  </si>
  <si>
    <t>GOAL FUNDING RATIO</t>
  </si>
  <si>
    <t>Drift</t>
  </si>
  <si>
    <t>Assets Out of Range</t>
  </si>
  <si>
    <t xml:space="preserve">   Years Left: 5</t>
  </si>
  <si>
    <r>
      <rPr>
        <b/>
        <sz val="36"/>
        <color theme="0"/>
        <rFont val="Segoe UI"/>
        <family val="2"/>
      </rPr>
      <t xml:space="preserve">GOAL BASED PORTFOLIO REBALANCING DASHBOARD </t>
    </r>
    <r>
      <rPr>
        <b/>
        <sz val="28"/>
        <color theme="0"/>
        <rFont val="Segoe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</si>
</sst>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 &quot;₹&quot;\ * #,##0_ ;_ &quot;₹&quot;\ * \-#,##0_ ;_ &quot;₹&quot;\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4"/>
      <color rgb="FF9C5700"/>
      <name val="Aptos Narrow"/>
      <family val="2"/>
      <scheme val="minor"/>
    </font>
    <font>
      <b/>
      <sz val="24"/>
      <color theme="0"/>
      <name val="Segoe UI"/>
      <family val="2"/>
    </font>
    <font>
      <b/>
      <sz val="28"/>
      <color theme="0"/>
      <name val="Segoe UI"/>
      <family val="2"/>
    </font>
    <font>
      <b/>
      <sz val="36"/>
      <color theme="0"/>
      <name val="Segoe UI"/>
      <family val="2"/>
    </font>
    <font>
      <sz val="16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18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9" fillId="7" borderId="1" applyNumberFormat="0" applyAlignment="0" applyProtection="0"/>
    <xf numFmtId="0" fontId="10" fillId="8" borderId="2" applyNumberFormat="0" applyAlignment="0" applyProtection="0"/>
    <xf numFmtId="0" fontId="1" fillId="9" borderId="3" applyNumberFormat="0" applyFont="0" applyAlignment="0" applyProtection="0"/>
    <xf numFmtId="0" fontId="1" fillId="10" borderId="0" applyNumberFormat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9" fontId="0" fillId="0" borderId="0" xfId="0" applyNumberFormat="1"/>
    <xf numFmtId="9" fontId="0" fillId="0" borderId="0" xfId="2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64" fontId="2" fillId="2" borderId="0" xfId="3" applyNumberFormat="1"/>
    <xf numFmtId="10" fontId="3" fillId="3" borderId="0" xfId="4" applyNumberFormat="1"/>
    <xf numFmtId="9" fontId="3" fillId="3" borderId="0" xfId="4" applyNumberFormat="1"/>
    <xf numFmtId="0" fontId="7" fillId="0" borderId="0" xfId="6"/>
    <xf numFmtId="164" fontId="7" fillId="0" borderId="0" xfId="6" applyNumberFormat="1"/>
    <xf numFmtId="0" fontId="3" fillId="5" borderId="0" xfId="7"/>
    <xf numFmtId="9" fontId="3" fillId="5" borderId="0" xfId="7" applyNumberFormat="1"/>
    <xf numFmtId="164" fontId="1" fillId="2" borderId="0" xfId="6" applyNumberFormat="1" applyFont="1" applyFill="1"/>
    <xf numFmtId="9" fontId="1" fillId="6" borderId="0" xfId="8" applyNumberFormat="1"/>
    <xf numFmtId="164" fontId="1" fillId="6" borderId="0" xfId="8" applyNumberFormat="1"/>
    <xf numFmtId="0" fontId="6" fillId="4" borderId="0" xfId="5"/>
    <xf numFmtId="10" fontId="0" fillId="0" borderId="0" xfId="0" applyNumberFormat="1"/>
    <xf numFmtId="0" fontId="1" fillId="10" borderId="0" xfId="12"/>
    <xf numFmtId="0" fontId="0" fillId="9" borderId="3" xfId="11" applyFont="1"/>
    <xf numFmtId="17" fontId="0" fillId="9" borderId="3" xfId="11" applyNumberFormat="1" applyFont="1"/>
    <xf numFmtId="0" fontId="11" fillId="4" borderId="0" xfId="5" applyFont="1"/>
    <xf numFmtId="0" fontId="2" fillId="2" borderId="0" xfId="3"/>
    <xf numFmtId="9" fontId="2" fillId="2" borderId="0" xfId="3" applyNumberFormat="1"/>
    <xf numFmtId="0" fontId="10" fillId="8" borderId="2" xfId="10"/>
    <xf numFmtId="1" fontId="10" fillId="8" borderId="2" xfId="10" applyNumberFormat="1"/>
    <xf numFmtId="9" fontId="10" fillId="8" borderId="2" xfId="10" applyNumberFormat="1"/>
    <xf numFmtId="0" fontId="10" fillId="9" borderId="3" xfId="11" applyFont="1"/>
    <xf numFmtId="0" fontId="9" fillId="7" borderId="1" xfId="9"/>
    <xf numFmtId="165" fontId="0" fillId="0" borderId="0" xfId="13" applyNumberFormat="1" applyFont="1"/>
    <xf numFmtId="0" fontId="0" fillId="11" borderId="0" xfId="0" applyFill="1"/>
    <xf numFmtId="164" fontId="0" fillId="0" borderId="4" xfId="1" applyNumberFormat="1" applyFont="1" applyBorder="1"/>
    <xf numFmtId="0" fontId="0" fillId="12" borderId="0" xfId="0" applyFill="1"/>
    <xf numFmtId="9" fontId="0" fillId="12" borderId="0" xfId="0" applyNumberFormat="1" applyFill="1"/>
    <xf numFmtId="165" fontId="0" fillId="12" borderId="0" xfId="13" applyNumberFormat="1" applyFont="1" applyFill="1"/>
    <xf numFmtId="0" fontId="15" fillId="12" borderId="0" xfId="0" applyFont="1" applyFill="1"/>
    <xf numFmtId="0" fontId="16" fillId="12" borderId="0" xfId="0" applyFont="1" applyFill="1"/>
    <xf numFmtId="165" fontId="16" fillId="12" borderId="0" xfId="13" applyNumberFormat="1" applyFont="1" applyFill="1" applyAlignment="1">
      <alignment horizontal="center"/>
    </xf>
    <xf numFmtId="0" fontId="17" fillId="12" borderId="0" xfId="0" applyFont="1" applyFill="1"/>
    <xf numFmtId="165" fontId="16" fillId="12" borderId="0" xfId="13" applyNumberFormat="1" applyFont="1" applyFill="1"/>
    <xf numFmtId="9" fontId="16" fillId="12" borderId="0" xfId="2" applyFont="1" applyFill="1"/>
    <xf numFmtId="0" fontId="18" fillId="13" borderId="5" xfId="0" applyFont="1" applyFill="1" applyBorder="1"/>
    <xf numFmtId="0" fontId="19" fillId="11" borderId="0" xfId="0" applyFont="1" applyFill="1"/>
    <xf numFmtId="0" fontId="13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</cellXfs>
  <cellStyles count="14">
    <cellStyle name="20% - Accent1" xfId="8" builtinId="30"/>
    <cellStyle name="40% - Accent1" xfId="12" builtinId="31"/>
    <cellStyle name="Accent1" xfId="7" builtinId="29"/>
    <cellStyle name="Accent3" xfId="4" builtinId="37"/>
    <cellStyle name="Comma" xfId="1" builtinId="3"/>
    <cellStyle name="Currency" xfId="13" builtinId="4"/>
    <cellStyle name="Good" xfId="3" builtinId="26"/>
    <cellStyle name="Input" xfId="9" builtinId="20"/>
    <cellStyle name="Neutral" xfId="5" builtinId="28"/>
    <cellStyle name="Normal" xfId="0" builtinId="0"/>
    <cellStyle name="Note" xfId="11" builtinId="10"/>
    <cellStyle name="Output" xfId="10" builtinId="21"/>
    <cellStyle name="Per cent" xfId="2" builtinId="5"/>
    <cellStyle name="Warning Text" xfId="6" builtinId="11"/>
  </cellStyles>
  <dxfs count="104">
    <dxf>
      <numFmt numFmtId="13" formatCode="0%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00000"/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CURRENT ASSET ALLOCATION</a:t>
            </a:r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7099241633209"/>
          <c:y val="0.22267885618679714"/>
          <c:w val="0.4631434314282778"/>
          <c:h val="0.66315462098794997"/>
        </c:manualLayout>
      </c:layout>
      <c:pieChart>
        <c:varyColors val="1"/>
        <c:ser>
          <c:idx val="0"/>
          <c:order val="0"/>
          <c:tx>
            <c:strRef>
              <c:f>Dashboard!$AI$7</c:f>
              <c:strCache>
                <c:ptCount val="1"/>
                <c:pt idx="0">
                  <c:v>Weight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4-4FCA-B52D-E3D6C0B9D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4-4FCA-B52D-E3D6C0B9D2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14-4FCA-B52D-E3D6C0B9D2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14-4FCA-B52D-E3D6C0B9D21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Dashboard!$AH$8:$AH$11</c:f>
              <c:strCache>
                <c:ptCount val="4"/>
                <c:pt idx="0">
                  <c:v>Equity</c:v>
                </c:pt>
                <c:pt idx="1">
                  <c:v>Debt</c:v>
                </c:pt>
                <c:pt idx="2">
                  <c:v>Metals </c:v>
                </c:pt>
                <c:pt idx="3">
                  <c:v>Alternative</c:v>
                </c:pt>
              </c:strCache>
            </c:strRef>
          </c:cat>
          <c:val>
            <c:numRef>
              <c:f>Dashboard!$AI$8:$AI$11</c:f>
              <c:numCache>
                <c:formatCode>0%</c:formatCode>
                <c:ptCount val="4"/>
                <c:pt idx="0">
                  <c:v>0.6</c:v>
                </c:pt>
                <c:pt idx="1">
                  <c:v>0.25</c:v>
                </c:pt>
                <c:pt idx="2">
                  <c:v>0.1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5-494C-B943-D68381B1C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8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GLIDE PATH CHART</a:t>
            </a:r>
          </a:p>
        </c:rich>
      </c:tx>
      <c:layout>
        <c:manualLayout>
          <c:xMode val="edge"/>
          <c:yMode val="edge"/>
          <c:x val="0.30258411259673806"/>
          <c:y val="3.465706335511301E-2"/>
        </c:manualLayout>
      </c:layout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8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Simulation!$M$5</c:f>
              <c:strCache>
                <c:ptCount val="1"/>
                <c:pt idx="0">
                  <c:v>Avg Years Left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Simulation!$M$6:$M$15</c:f>
              <c:numCache>
                <c:formatCode>0</c:formatCode>
                <c:ptCount val="10"/>
                <c:pt idx="0">
                  <c:v>18.124520066704861</c:v>
                </c:pt>
                <c:pt idx="1">
                  <c:v>17.213247103884161</c:v>
                </c:pt>
                <c:pt idx="2">
                  <c:v>16.24894384463607</c:v>
                </c:pt>
                <c:pt idx="3">
                  <c:v>15.341008319452634</c:v>
                </c:pt>
                <c:pt idx="4">
                  <c:v>14.341008319452634</c:v>
                </c:pt>
                <c:pt idx="5">
                  <c:v>13.528026711248822</c:v>
                </c:pt>
                <c:pt idx="6">
                  <c:v>12.528026711248824</c:v>
                </c:pt>
                <c:pt idx="7">
                  <c:v>11.528026711248824</c:v>
                </c:pt>
                <c:pt idx="8">
                  <c:v>10.528026711248824</c:v>
                </c:pt>
                <c:pt idx="9">
                  <c:v>9.5280267112488204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F-4E01-B7C6-D4E8562433EE}"/>
            </c:ext>
          </c:extLst>
        </c:ser>
        <c:ser>
          <c:idx val="1"/>
          <c:order val="1"/>
          <c:tx>
            <c:strRef>
              <c:f>Simulation!$N$5</c:f>
              <c:strCache>
                <c:ptCount val="1"/>
                <c:pt idx="0">
                  <c:v>Equity %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Simulation!$N$6:$N$15</c:f>
              <c:numCache>
                <c:formatCode>0%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F-4E01-B7C6-D4E8562433EE}"/>
            </c:ext>
          </c:extLst>
        </c:ser>
        <c:ser>
          <c:idx val="2"/>
          <c:order val="2"/>
          <c:tx>
            <c:strRef>
              <c:f>Simulation!$O$5</c:f>
              <c:strCache>
                <c:ptCount val="1"/>
                <c:pt idx="0">
                  <c:v>Debt %</c:v>
                </c:pt>
              </c:strCache>
            </c:strRef>
          </c:tx>
          <c:spPr>
            <a:solidFill>
              <a:schemeClr val="accent3">
                <a:alpha val="74000"/>
              </a:schemeClr>
            </a:solidFill>
            <a:ln>
              <a:noFill/>
            </a:ln>
            <a:effectLst>
              <a:innerShdw blurRad="114300">
                <a:schemeClr val="accent3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Simulation!$O$6:$O$15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F-4E01-B7C6-D4E8562433EE}"/>
            </c:ext>
          </c:extLst>
        </c:ser>
        <c:ser>
          <c:idx val="3"/>
          <c:order val="3"/>
          <c:tx>
            <c:strRef>
              <c:f>Simulation!$P$5</c:f>
              <c:strCache>
                <c:ptCount val="1"/>
                <c:pt idx="0">
                  <c:v>Metals %</c:v>
                </c:pt>
              </c:strCache>
            </c:strRef>
          </c:tx>
          <c:spPr>
            <a:solidFill>
              <a:schemeClr val="accent4">
                <a:alpha val="74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Simulation!$P$6:$P$15</c:f>
              <c:numCache>
                <c:formatCode>0%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F-4E01-B7C6-D4E8562433EE}"/>
            </c:ext>
          </c:extLst>
        </c:ser>
        <c:ser>
          <c:idx val="4"/>
          <c:order val="4"/>
          <c:tx>
            <c:strRef>
              <c:f>Simulation!$Q$5</c:f>
              <c:strCache>
                <c:ptCount val="1"/>
                <c:pt idx="0">
                  <c:v>Alit %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Simulation!$Q$6:$Q$15</c:f>
              <c:numCache>
                <c:formatCode>0%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DF-4E01-B7C6-D4E8562433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41733103"/>
        <c:axId val="441733583"/>
      </c:areaChart>
      <c:catAx>
        <c:axId val="44173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33583"/>
        <c:crosses val="autoZero"/>
        <c:auto val="1"/>
        <c:lblAlgn val="ctr"/>
        <c:lblOffset val="100"/>
        <c:noMultiLvlLbl val="0"/>
      </c:catAx>
      <c:valAx>
        <c:axId val="4417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33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Portfolio Growth </a:t>
            </a:r>
            <a:r>
              <a:rPr lang="en-IN" baseline="0">
                <a:solidFill>
                  <a:schemeClr val="bg1"/>
                </a:solidFill>
              </a:rPr>
              <a:t>Over</a:t>
            </a:r>
            <a:r>
              <a:rPr lang="en-IN">
                <a:solidFill>
                  <a:schemeClr val="bg1"/>
                </a:solidFill>
              </a:rPr>
              <a:t> Time</a:t>
            </a:r>
          </a:p>
        </c:rich>
      </c:tx>
      <c:layout>
        <c:manualLayout>
          <c:xMode val="edge"/>
          <c:yMode val="edge"/>
          <c:x val="0.26070723390599737"/>
          <c:y val="1.7316017316017316E-2"/>
        </c:manualLayout>
      </c:layout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5091707787057934E-2"/>
          <c:y val="0.12581410628434508"/>
          <c:w val="0.94201805977388553"/>
          <c:h val="0.74410809842107029"/>
        </c:manualLayout>
      </c:layout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Simulation!$I$6:$I$15</c:f>
              <c:numCache>
                <c:formatCode>_ * #,##0_ ;_ * \-#,##0_ ;_ * "-"??_ ;_ @_ </c:formatCode>
                <c:ptCount val="10"/>
                <c:pt idx="0">
                  <c:v>2365200</c:v>
                </c:pt>
                <c:pt idx="1">
                  <c:v>3586217.4</c:v>
                </c:pt>
                <c:pt idx="2">
                  <c:v>4648975.0298999995</c:v>
                </c:pt>
                <c:pt idx="3">
                  <c:v>6377666.4823517995</c:v>
                </c:pt>
                <c:pt idx="4">
                  <c:v>8165609.2465693802</c:v>
                </c:pt>
                <c:pt idx="5">
                  <c:v>9932914.5043260232</c:v>
                </c:pt>
                <c:pt idx="6">
                  <c:v>12893326.775123492</c:v>
                </c:pt>
                <c:pt idx="7">
                  <c:v>15453064.531516695</c:v>
                </c:pt>
                <c:pt idx="8">
                  <c:v>17427798.23285719</c:v>
                </c:pt>
                <c:pt idx="9">
                  <c:v>20409920.65697404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4-4DEA-8861-3604DA927B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918224"/>
        <c:axId val="1404932144"/>
      </c:lineChart>
      <c:catAx>
        <c:axId val="140491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32144"/>
        <c:crosses val="autoZero"/>
        <c:auto val="1"/>
        <c:lblAlgn val="ctr"/>
        <c:lblOffset val="100"/>
        <c:noMultiLvlLbl val="0"/>
      </c:catAx>
      <c:valAx>
        <c:axId val="14049321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portfolio  value (RS)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14049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GOAL TARGET VS ACHIEVED</a:t>
            </a:r>
            <a:endParaRPr lang="en-IN"/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Dashboard!$AI$15</c:f>
              <c:strCache>
                <c:ptCount val="1"/>
                <c:pt idx="0">
                  <c:v>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Dashboard!$AH$16:$AH$23</c:f>
              <c:strCache>
                <c:ptCount val="8"/>
                <c:pt idx="0">
                  <c:v>Emergency Fund</c:v>
                </c:pt>
                <c:pt idx="1">
                  <c:v>Vacation</c:v>
                </c:pt>
                <c:pt idx="2">
                  <c:v>Car Down Payment</c:v>
                </c:pt>
                <c:pt idx="3">
                  <c:v>Education Fund</c:v>
                </c:pt>
                <c:pt idx="4">
                  <c:v>Retirement</c:v>
                </c:pt>
                <c:pt idx="5">
                  <c:v>Marriage</c:v>
                </c:pt>
                <c:pt idx="6">
                  <c:v>Home Upgrade</c:v>
                </c:pt>
                <c:pt idx="7">
                  <c:v>Philanthropy</c:v>
                </c:pt>
              </c:strCache>
            </c:strRef>
          </c:cat>
          <c:val>
            <c:numRef>
              <c:f>Dashboard!$AI$16:$AI$23</c:f>
              <c:numCache>
                <c:formatCode>_ "₹"\ * #,##0_ ;_ "₹"\ * \-#,##0_ ;_ "₹"\ * "-"??_ ;_ @_ </c:formatCode>
                <c:ptCount val="8"/>
                <c:pt idx="0">
                  <c:v>530000</c:v>
                </c:pt>
                <c:pt idx="1">
                  <c:v>224720.00000000003</c:v>
                </c:pt>
                <c:pt idx="2">
                  <c:v>612521.5</c:v>
                </c:pt>
                <c:pt idx="3">
                  <c:v>15860845.570991358</c:v>
                </c:pt>
                <c:pt idx="4">
                  <c:v>77393689.249723583</c:v>
                </c:pt>
                <c:pt idx="5">
                  <c:v>5901454.0718686972</c:v>
                </c:pt>
                <c:pt idx="6">
                  <c:v>1402551.7307000002</c:v>
                </c:pt>
                <c:pt idx="7">
                  <c:v>895423.84827142733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E-4883-9A6C-42E9F7F619A3}"/>
            </c:ext>
          </c:extLst>
        </c:ser>
        <c:ser>
          <c:idx val="1"/>
          <c:order val="1"/>
          <c:tx>
            <c:strRef>
              <c:f>Dashboard!$AJ$15</c:f>
              <c:strCache>
                <c:ptCount val="1"/>
                <c:pt idx="0">
                  <c:v>Achieved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Dashboard!$AH$16:$AH$23</c:f>
              <c:strCache>
                <c:ptCount val="8"/>
                <c:pt idx="0">
                  <c:v>Emergency Fund</c:v>
                </c:pt>
                <c:pt idx="1">
                  <c:v>Vacation</c:v>
                </c:pt>
                <c:pt idx="2">
                  <c:v>Car Down Payment</c:v>
                </c:pt>
                <c:pt idx="3">
                  <c:v>Education Fund</c:v>
                </c:pt>
                <c:pt idx="4">
                  <c:v>Retirement</c:v>
                </c:pt>
                <c:pt idx="5">
                  <c:v>Marriage</c:v>
                </c:pt>
                <c:pt idx="6">
                  <c:v>Home Upgrade</c:v>
                </c:pt>
                <c:pt idx="7">
                  <c:v>Philanthropy</c:v>
                </c:pt>
              </c:strCache>
            </c:strRef>
          </c:cat>
          <c:val>
            <c:numRef>
              <c:f>Dashboard!$AJ$16:$AJ$23</c:f>
              <c:numCache>
                <c:formatCode>_ "₹"\ * #,##0_ ;_ "₹"\ * \-#,##0_ ;_ "₹"\ * "-"??_ ;_ @_ </c:formatCode>
                <c:ptCount val="8"/>
                <c:pt idx="0">
                  <c:v>133161.2691280522</c:v>
                </c:pt>
                <c:pt idx="1">
                  <c:v>63951.588421398774</c:v>
                </c:pt>
                <c:pt idx="2">
                  <c:v>167338.30503701346</c:v>
                </c:pt>
                <c:pt idx="3">
                  <c:v>4126743.8021816015</c:v>
                </c:pt>
                <c:pt idx="4">
                  <c:v>21384259.260629293</c:v>
                </c:pt>
                <c:pt idx="5">
                  <c:v>1957003.2487508261</c:v>
                </c:pt>
                <c:pt idx="6">
                  <c:v>370199.98045181611</c:v>
                </c:pt>
                <c:pt idx="7">
                  <c:v>255999.89294377973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E-4883-9A6C-42E9F7F6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689056"/>
        <c:axId val="227682816"/>
      </c:barChart>
      <c:catAx>
        <c:axId val="22768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82816"/>
        <c:crosses val="autoZero"/>
        <c:auto val="1"/>
        <c:lblAlgn val="ctr"/>
        <c:lblOffset val="100"/>
        <c:noMultiLvlLbl val="0"/>
      </c:catAx>
      <c:valAx>
        <c:axId val="2276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8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PORTFOLIO RETURN</a:t>
            </a:r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Simulation!$G$6:$G$15</c:f>
              <c:numCache>
                <c:formatCode>0%</c:formatCode>
                <c:ptCount val="10"/>
                <c:pt idx="0">
                  <c:v>7.2500000000000009E-2</c:v>
                </c:pt>
                <c:pt idx="1">
                  <c:v>-4.9999999999999784E-4</c:v>
                </c:pt>
                <c:pt idx="2">
                  <c:v>-6.1500000000000006E-2</c:v>
                </c:pt>
                <c:pt idx="3">
                  <c:v>8.2000000000000003E-2</c:v>
                </c:pt>
                <c:pt idx="4">
                  <c:v>5.8499999999999996E-2</c:v>
                </c:pt>
                <c:pt idx="5">
                  <c:v>3.4499999999999996E-2</c:v>
                </c:pt>
                <c:pt idx="6">
                  <c:v>0.14100000000000001</c:v>
                </c:pt>
                <c:pt idx="7">
                  <c:v>7.1500000000000008E-2</c:v>
                </c:pt>
                <c:pt idx="8">
                  <c:v>1.6500000000000001E-2</c:v>
                </c:pt>
                <c:pt idx="9">
                  <c:v>6.7500000000000004E-2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3-44D8-9190-1476DF6C4C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704416"/>
        <c:axId val="227707776"/>
      </c:lineChart>
      <c:catAx>
        <c:axId val="22770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07776"/>
        <c:crosses val="autoZero"/>
        <c:auto val="1"/>
        <c:lblAlgn val="ctr"/>
        <c:lblOffset val="100"/>
        <c:noMultiLvlLbl val="0"/>
      </c:catAx>
      <c:valAx>
        <c:axId val="2277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DRIFT ANALYSIS</a:t>
            </a:r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Dashboard!$AM$7</c:f>
              <c:strCache>
                <c:ptCount val="1"/>
                <c:pt idx="0">
                  <c:v>Drift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0EB-4901-BC80-C2398F676EF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309436810594757E-2"/>
                      <c:h val="9.08170507423518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EB-4901-BC80-C2398F676EF6}"/>
                </c:ext>
              </c:extLst>
            </c:dLbl>
            <c:dLbl>
              <c:idx val="3"/>
              <c:layout>
                <c:manualLayout>
                  <c:x val="-1.2200435729847494E-2"/>
                  <c:y val="-5.5919592469458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EB-4901-BC80-C2398F676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Dashboard!$AL$8:$AL$11</c:f>
              <c:strCache>
                <c:ptCount val="4"/>
                <c:pt idx="0">
                  <c:v>Equity</c:v>
                </c:pt>
                <c:pt idx="1">
                  <c:v>Debt</c:v>
                </c:pt>
                <c:pt idx="2">
                  <c:v>Metals </c:v>
                </c:pt>
                <c:pt idx="3">
                  <c:v>Alternative</c:v>
                </c:pt>
              </c:strCache>
            </c:strRef>
          </c:cat>
          <c:val>
            <c:numRef>
              <c:f>Dashboard!$AM$8:$AM$11</c:f>
              <c:numCache>
                <c:formatCode>0.00%</c:formatCode>
                <c:ptCount val="4"/>
                <c:pt idx="0">
                  <c:v>8.8324414019358422E-3</c:v>
                </c:pt>
                <c:pt idx="1">
                  <c:v>-1.3484531921807014E-2</c:v>
                </c:pt>
                <c:pt idx="2">
                  <c:v>0</c:v>
                </c:pt>
                <c:pt idx="3">
                  <c:v>4.6520905198713172E-3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B-4901-BC80-C2398F676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4960464"/>
        <c:axId val="1404967664"/>
        <c:axId val="0"/>
      </c:bar3DChart>
      <c:catAx>
        <c:axId val="14049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67664"/>
        <c:crosses val="autoZero"/>
        <c:auto val="1"/>
        <c:lblAlgn val="ctr"/>
        <c:lblOffset val="100"/>
        <c:noMultiLvlLbl val="0"/>
      </c:catAx>
      <c:valAx>
        <c:axId val="14049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24" Type="http://schemas.openxmlformats.org/officeDocument/2006/relationships/image" Target="../media/image18.sv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23" Type="http://schemas.openxmlformats.org/officeDocument/2006/relationships/image" Target="../media/image17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23814</xdr:colOff>
      <xdr:row>3</xdr:row>
      <xdr:rowOff>77391</xdr:rowOff>
    </xdr:from>
    <xdr:to>
      <xdr:col>3</xdr:col>
      <xdr:colOff>595312</xdr:colOff>
      <xdr:row>8</xdr:row>
      <xdr:rowOff>11907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52BCBA3-20CB-893D-8502-341848EE33B4}"/>
            </a:ext>
          </a:extLst>
        </xdr:cNvPr>
        <xdr:cNvSpPr/>
      </xdr:nvSpPr>
      <xdr:spPr>
        <a:xfrm>
          <a:off x="23814" y="738189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11906</xdr:colOff>
      <xdr:row>3</xdr:row>
      <xdr:rowOff>83344</xdr:rowOff>
    </xdr:from>
    <xdr:to>
      <xdr:col>9</xdr:col>
      <xdr:colOff>196451</xdr:colOff>
      <xdr:row>8</xdr:row>
      <xdr:rowOff>17860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7E86A7C-ED84-4307-847E-3CF7AA0A1CD3}"/>
            </a:ext>
          </a:extLst>
        </xdr:cNvPr>
        <xdr:cNvSpPr/>
      </xdr:nvSpPr>
      <xdr:spPr>
        <a:xfrm>
          <a:off x="3518297" y="744142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267891</xdr:colOff>
      <xdr:row>3</xdr:row>
      <xdr:rowOff>95249</xdr:rowOff>
    </xdr:from>
    <xdr:to>
      <xdr:col>14</xdr:col>
      <xdr:colOff>452435</xdr:colOff>
      <xdr:row>8</xdr:row>
      <xdr:rowOff>29765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A71528D-00F2-4547-B102-12575AF90E6C}"/>
            </a:ext>
          </a:extLst>
        </xdr:cNvPr>
        <xdr:cNvSpPr/>
      </xdr:nvSpPr>
      <xdr:spPr>
        <a:xfrm>
          <a:off x="7983141" y="761999"/>
          <a:ext cx="3399232" cy="1137049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541734</xdr:colOff>
      <xdr:row>3</xdr:row>
      <xdr:rowOff>107156</xdr:rowOff>
    </xdr:from>
    <xdr:to>
      <xdr:col>18</xdr:col>
      <xdr:colOff>916780</xdr:colOff>
      <xdr:row>8</xdr:row>
      <xdr:rowOff>41672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825546B-7F48-4C91-B5A9-6FF59456775E}"/>
            </a:ext>
          </a:extLst>
        </xdr:cNvPr>
        <xdr:cNvSpPr/>
      </xdr:nvSpPr>
      <xdr:spPr>
        <a:xfrm>
          <a:off x="10537032" y="767954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994172</xdr:colOff>
      <xdr:row>3</xdr:row>
      <xdr:rowOff>83343</xdr:rowOff>
    </xdr:from>
    <xdr:to>
      <xdr:col>23</xdr:col>
      <xdr:colOff>202404</xdr:colOff>
      <xdr:row>8</xdr:row>
      <xdr:rowOff>17859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19AD87D-B34A-4681-A163-4E3A9BAE2C97}"/>
            </a:ext>
          </a:extLst>
        </xdr:cNvPr>
        <xdr:cNvSpPr/>
      </xdr:nvSpPr>
      <xdr:spPr>
        <a:xfrm>
          <a:off x="14043422" y="744141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273844</xdr:colOff>
      <xdr:row>3</xdr:row>
      <xdr:rowOff>83343</xdr:rowOff>
    </xdr:from>
    <xdr:to>
      <xdr:col>27</xdr:col>
      <xdr:colOff>440530</xdr:colOff>
      <xdr:row>8</xdr:row>
      <xdr:rowOff>17859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483F307-508F-47AB-93D2-9C0E5C519819}"/>
            </a:ext>
          </a:extLst>
        </xdr:cNvPr>
        <xdr:cNvSpPr/>
      </xdr:nvSpPr>
      <xdr:spPr>
        <a:xfrm>
          <a:off x="19883439" y="750093"/>
          <a:ext cx="3643311" cy="1137049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119062</xdr:colOff>
      <xdr:row>9</xdr:row>
      <xdr:rowOff>29773</xdr:rowOff>
    </xdr:from>
    <xdr:to>
      <xdr:col>19</xdr:col>
      <xdr:colOff>177400</xdr:colOff>
      <xdr:row>32</xdr:row>
      <xdr:rowOff>47623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B393AA2-8596-1849-6AAB-F68137EC2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302417</xdr:colOff>
      <xdr:row>9</xdr:row>
      <xdr:rowOff>35720</xdr:rowOff>
    </xdr:from>
    <xdr:to>
      <xdr:col>27</xdr:col>
      <xdr:colOff>475061</xdr:colOff>
      <xdr:row>32</xdr:row>
      <xdr:rowOff>23811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6C45BD8-D9E5-4F5E-A07F-9C53B8766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119063</xdr:colOff>
      <xdr:row>9</xdr:row>
      <xdr:rowOff>59532</xdr:rowOff>
    </xdr:from>
    <xdr:to>
      <xdr:col>9</xdr:col>
      <xdr:colOff>619125</xdr:colOff>
      <xdr:row>32</xdr:row>
      <xdr:rowOff>47623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E2D87-5095-4272-B370-E121954E9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119063</xdr:colOff>
      <xdr:row>32</xdr:row>
      <xdr:rowOff>157161</xdr:rowOff>
    </xdr:from>
    <xdr:to>
      <xdr:col>10</xdr:col>
      <xdr:colOff>9525</xdr:colOff>
      <xdr:row>58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AEC897-93CF-753D-E6CB-57DBC0824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119063</xdr:colOff>
      <xdr:row>32</xdr:row>
      <xdr:rowOff>154782</xdr:rowOff>
    </xdr:from>
    <xdr:to>
      <xdr:col>19</xdr:col>
      <xdr:colOff>183354</xdr:colOff>
      <xdr:row>58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59A071-FE67-415E-86D6-90DFA082B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345278</xdr:colOff>
      <xdr:row>33</xdr:row>
      <xdr:rowOff>2380</xdr:rowOff>
    </xdr:from>
    <xdr:to>
      <xdr:col>27</xdr:col>
      <xdr:colOff>559592</xdr:colOff>
      <xdr:row>58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3914B9-9113-7725-7BC7-717671E0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119061</xdr:colOff>
      <xdr:row>4</xdr:row>
      <xdr:rowOff>59530</xdr:rowOff>
    </xdr:from>
    <xdr:to>
      <xdr:col>3</xdr:col>
      <xdr:colOff>390524</xdr:colOff>
      <xdr:row>7</xdr:row>
      <xdr:rowOff>128587</xdr:rowOff>
    </xdr:to>
    <xdr:pic>
      <xdr:nvPicPr>
        <xdr:cNvPr id="15" name="Graphic 14" descr="Money">
          <a:extLst>
            <a:ext uri="{FF2B5EF4-FFF2-40B4-BE49-F238E27FC236}">
              <a16:creationId xmlns:a16="http://schemas.microsoft.com/office/drawing/2014/main" id="{93725479-F8B7-6B99-9979-41416849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33749" y="9048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297655</xdr:colOff>
      <xdr:row>0</xdr:row>
      <xdr:rowOff>47626</xdr:rowOff>
    </xdr:from>
    <xdr:to>
      <xdr:col>19</xdr:col>
      <xdr:colOff>1059654</xdr:colOff>
      <xdr:row>2</xdr:row>
      <xdr:rowOff>178594</xdr:rowOff>
    </xdr:to>
    <xdr:pic>
      <xdr:nvPicPr>
        <xdr:cNvPr id="19" name="Graphic 18" descr="Bullseye">
          <a:extLst>
            <a:ext uri="{FF2B5EF4-FFF2-40B4-BE49-F238E27FC236}">
              <a16:creationId xmlns:a16="http://schemas.microsoft.com/office/drawing/2014/main" id="{32E23A35-0259-500F-6B2E-6517C81A3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35438" y="47626"/>
          <a:ext cx="761999" cy="607218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4</xdr:row>
      <xdr:rowOff>83342</xdr:rowOff>
    </xdr:from>
    <xdr:to>
      <xdr:col>8</xdr:col>
      <xdr:colOff>604837</xdr:colOff>
      <xdr:row>7</xdr:row>
      <xdr:rowOff>152399</xdr:rowOff>
    </xdr:to>
    <xdr:pic>
      <xdr:nvPicPr>
        <xdr:cNvPr id="24" name="Graphic 23" descr="Presentation with checklist">
          <a:extLst>
            <a:ext uri="{FF2B5EF4-FFF2-40B4-BE49-F238E27FC236}">
              <a16:creationId xmlns:a16="http://schemas.microsoft.com/office/drawing/2014/main" id="{43EB61B5-6006-A5A3-D7A3-A0ADDE40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762750" y="92868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4</xdr:row>
      <xdr:rowOff>83343</xdr:rowOff>
    </xdr:from>
    <xdr:to>
      <xdr:col>14</xdr:col>
      <xdr:colOff>247650</xdr:colOff>
      <xdr:row>7</xdr:row>
      <xdr:rowOff>152400</xdr:rowOff>
    </xdr:to>
    <xdr:pic>
      <xdr:nvPicPr>
        <xdr:cNvPr id="26" name="Graphic 25" descr="Trophy">
          <a:extLst>
            <a:ext uri="{FF2B5EF4-FFF2-40B4-BE49-F238E27FC236}">
              <a16:creationId xmlns:a16="http://schemas.microsoft.com/office/drawing/2014/main" id="{05AB8A15-DA50-878D-A156-CC571D2F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263188" y="92868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17</xdr:col>
      <xdr:colOff>738187</xdr:colOff>
      <xdr:row>4</xdr:row>
      <xdr:rowOff>83342</xdr:rowOff>
    </xdr:from>
    <xdr:to>
      <xdr:col>18</xdr:col>
      <xdr:colOff>545304</xdr:colOff>
      <xdr:row>7</xdr:row>
      <xdr:rowOff>152399</xdr:rowOff>
    </xdr:to>
    <xdr:pic>
      <xdr:nvPicPr>
        <xdr:cNvPr id="30" name="Graphic 29" descr="Upward trend">
          <a:extLst>
            <a:ext uri="{FF2B5EF4-FFF2-40B4-BE49-F238E27FC236}">
              <a16:creationId xmlns:a16="http://schemas.microsoft.com/office/drawing/2014/main" id="{905D7220-8982-93A6-F9F7-ECC4665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5025687" y="92868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511967</xdr:colOff>
      <xdr:row>4</xdr:row>
      <xdr:rowOff>35717</xdr:rowOff>
    </xdr:from>
    <xdr:to>
      <xdr:col>23</xdr:col>
      <xdr:colOff>140492</xdr:colOff>
      <xdr:row>7</xdr:row>
      <xdr:rowOff>104774</xdr:rowOff>
    </xdr:to>
    <xdr:pic>
      <xdr:nvPicPr>
        <xdr:cNvPr id="32" name="Graphic 31" descr="Radioactive sign">
          <a:extLst>
            <a:ext uri="{FF2B5EF4-FFF2-40B4-BE49-F238E27FC236}">
              <a16:creationId xmlns:a16="http://schemas.microsoft.com/office/drawing/2014/main" id="{64BCE9C0-A344-F5F4-4584-ABD52A67D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8835687" y="88106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976313</xdr:colOff>
      <xdr:row>3</xdr:row>
      <xdr:rowOff>166688</xdr:rowOff>
    </xdr:from>
    <xdr:to>
      <xdr:col>27</xdr:col>
      <xdr:colOff>342901</xdr:colOff>
      <xdr:row>7</xdr:row>
      <xdr:rowOff>57150</xdr:rowOff>
    </xdr:to>
    <xdr:pic>
      <xdr:nvPicPr>
        <xdr:cNvPr id="35" name="Graphic 34" descr="Scales of justice">
          <a:extLst>
            <a:ext uri="{FF2B5EF4-FFF2-40B4-BE49-F238E27FC236}">
              <a16:creationId xmlns:a16="http://schemas.microsoft.com/office/drawing/2014/main" id="{4C3808CB-5C51-F39B-B920-CFFBD481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2514721" y="83343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0</xdr:row>
      <xdr:rowOff>0</xdr:rowOff>
    </xdr:from>
    <xdr:to>
      <xdr:col>1</xdr:col>
      <xdr:colOff>380999</xdr:colOff>
      <xdr:row>3</xdr:row>
      <xdr:rowOff>-1</xdr:rowOff>
    </xdr:to>
    <xdr:pic>
      <xdr:nvPicPr>
        <xdr:cNvPr id="37" name="Graphic 36" descr="Bar graph with upward trend">
          <a:extLst>
            <a:ext uri="{FF2B5EF4-FFF2-40B4-BE49-F238E27FC236}">
              <a16:creationId xmlns:a16="http://schemas.microsoft.com/office/drawing/2014/main" id="{A5EDC80C-CE96-4ADE-B69E-89420E246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57188" y="0"/>
          <a:ext cx="666749" cy="666749"/>
        </a:xfrm>
        <a:prstGeom prst="rect">
          <a:avLst/>
        </a:prstGeom>
      </xdr:spPr>
    </xdr:pic>
    <xdr:clientData/>
  </xdr:twoCellAnchor>
  <xdr:twoCellAnchor editAs="oneCell">
    <xdr:from>
      <xdr:col>1</xdr:col>
      <xdr:colOff>452438</xdr:colOff>
      <xdr:row>0</xdr:row>
      <xdr:rowOff>23814</xdr:rowOff>
    </xdr:from>
    <xdr:to>
      <xdr:col>1</xdr:col>
      <xdr:colOff>1023938</xdr:colOff>
      <xdr:row>2</xdr:row>
      <xdr:rowOff>130970</xdr:rowOff>
    </xdr:to>
    <xdr:pic>
      <xdr:nvPicPr>
        <xdr:cNvPr id="39" name="Graphic 38" descr="Pie chart">
          <a:extLst>
            <a:ext uri="{FF2B5EF4-FFF2-40B4-BE49-F238E27FC236}">
              <a16:creationId xmlns:a16="http://schemas.microsoft.com/office/drawing/2014/main" id="{4A983FBF-B981-9193-208E-029D93AF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095376" y="23814"/>
          <a:ext cx="571500" cy="5834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575828-2E04-4213-853F-DEB62AD4ED66}" name="Table12" displayName="Table12" ref="A5:H13" totalsRowShown="0" dataDxfId="103" dataCellStyle="Comma">
  <autoFilter ref="A5:H13" xr:uid="{FF575828-2E04-4213-853F-DEB62AD4ED66}"/>
  <tableColumns count="8">
    <tableColumn id="1" xr3:uid="{C2633482-F48C-4CA9-AC51-7C6C1B1AA16D}" name="Goal Name" dataCellStyle="Input"/>
    <tableColumn id="2" xr3:uid="{6423FCAC-148C-4CB1-8CFD-FB8F27954109}" name="Category"/>
    <tableColumn id="3" xr3:uid="{D2FA5F67-456F-4C5F-88F3-0728ADDC4E52}" name="Priority Level"/>
    <tableColumn id="4" xr3:uid="{20E8E44D-606A-46A5-8534-4EC2D8470FF4}" name="Target Amount (Today ₹)" dataDxfId="102" dataCellStyle="Comma"/>
    <tableColumn id="5" xr3:uid="{47255FC3-4F19-4FDC-B5A1-635C7CC8F30F}" name="Time Horizon (Years)"/>
    <tableColumn id="6" xr3:uid="{9EDC2751-2C46-4086-9E16-F182EE8D05BE}" name="Inflation %" dataDxfId="101"/>
    <tableColumn id="7" xr3:uid="{395B7224-DE9E-4EED-BF8D-D29C4296CE99}" name="Future Value" dataDxfId="100" dataCellStyle="Comma">
      <calculatedColumnFormula>D6*(1+F6)^E6</calculatedColumnFormula>
    </tableColumn>
    <tableColumn id="8" xr3:uid="{00972759-BE8D-4D40-9956-7991DED9BC0C}" name="Current Savings" dataDxfId="99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606BA2-2993-4A0E-A5BA-399B2C30C99B}" name="Table13" displayName="Table13" ref="J5:Q13" totalsRowShown="0" headerRowDxfId="98" dataDxfId="97" headerRowCellStyle="Per cent" dataCellStyle="Per cent">
  <autoFilter ref="J5:Q13" xr:uid="{C7606BA2-2993-4A0E-A5BA-399B2C30C99B}"/>
  <tableColumns count="8">
    <tableColumn id="1" xr3:uid="{50597410-2E12-4A6C-B96B-715DC395DAE9}" name="Required Return" dataDxfId="96"/>
    <tableColumn id="2" xr3:uid="{153FAA62-6760-4C72-B0EE-1037A52D1997}" name="Present Value" dataDxfId="95" dataCellStyle="Comma">
      <calculatedColumnFormula>G6/(1+J6)^E6</calculatedColumnFormula>
    </tableColumn>
    <tableColumn id="3" xr3:uid="{389A526F-0253-40F6-8576-72333327397F}" name="Risk Profile">
      <calculatedColumnFormula>IF(E6&lt;=3,"Conservative",IF(E6&lt;=10,"Moderate","Aggressive"))</calculatedColumnFormula>
    </tableColumn>
    <tableColumn id="4" xr3:uid="{674ED9A7-239E-42D4-8B28-C05578B1697E}" name="Weight" dataDxfId="94" dataCellStyle="Per cent">
      <calculatedColumnFormula>G6/$G$14</calculatedColumnFormula>
    </tableColumn>
    <tableColumn id="5" xr3:uid="{28BEFB2B-2901-4BC4-9D3E-758CECB41137}" name="Equity %" dataDxfId="93" dataCellStyle="Per cent">
      <calculatedColumnFormula>VLOOKUP(L6,Asset_Allocation!$A$6:$L$8,2,FALSE)</calculatedColumnFormula>
    </tableColumn>
    <tableColumn id="6" xr3:uid="{7BB23E60-A2A0-4F43-8E08-016B9B799098}" name="Debt %" dataDxfId="92" dataCellStyle="Per cent">
      <calculatedColumnFormula>VLOOKUP(L6,Asset_Allocation!$A$6:$L$8,3,FALSE)</calculatedColumnFormula>
    </tableColumn>
    <tableColumn id="7" xr3:uid="{6DDEA4FF-D502-47C4-B0AE-7E1DB4892E8D}" name="Precious Metals %" dataDxfId="91" dataCellStyle="Per cent">
      <calculatedColumnFormula>VLOOKUP(L6,Asset_Allocation!$A$6:$L$8,4,FALSE)</calculatedColumnFormula>
    </tableColumn>
    <tableColumn id="8" xr3:uid="{3B1EC8F3-73CF-48C7-AA8D-D4932040EE85}" name="Alternatives %" dataDxfId="90" dataCellStyle="Per cent">
      <calculatedColumnFormula>VLOOKUP(L6,Asset_Allocation!$A$6:$L$8,5,FALSE)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9D2EE9-1844-4DAA-AD47-B9121B93983F}" name="Table14" displayName="Table14" ref="S5:X13" totalsRowShown="0" headerRowDxfId="89" dataDxfId="88" headerRowCellStyle="Per cent" dataCellStyle="Per cent">
  <autoFilter ref="S5:X13" xr:uid="{B59D2EE9-1844-4DAA-AD47-B9121B93983F}"/>
  <tableColumns count="6">
    <tableColumn id="1" xr3:uid="{D9E1D20B-1C73-48A4-8665-282F57B04CF3}" name="Years Left " dataCellStyle="Note">
      <calculatedColumnFormula>E6-(Simulation!$A$6)+1</calculatedColumnFormula>
    </tableColumn>
    <tableColumn id="2" xr3:uid="{D5B03896-1E01-4C31-871D-913C4BC4D94D}" name="Risk Stage " dataCellStyle="40% - Accent1">
      <calculatedColumnFormula>IF(S6&gt;15,"Aggressive",IF(S6&gt;10,"Growth",IF(S6&gt;7,"Moderate",IF(S6&gt;3,"Balanced","Conservative"))))</calculatedColumnFormula>
    </tableColumn>
    <tableColumn id="3" xr3:uid="{C7EEE594-26CF-4227-85AB-8A9B72A05A4A}" name="Equity %" dataDxfId="87" dataCellStyle="Per cent">
      <calculatedColumnFormula>INDEX(Asset_Allocation!$C$16:$C$20,MATCH(T6,Asset_Allocation!$B$16:$B$20,0))</calculatedColumnFormula>
    </tableColumn>
    <tableColumn id="4" xr3:uid="{3105AA4D-1032-45CC-BAAC-EDBC71A4D1E8}" name="Debt %" dataDxfId="86" dataCellStyle="Per cent">
      <calculatedColumnFormula>INDEX(Asset_Allocation!$D$16:$D$20,MATCH(T6,Asset_Allocation!$B$16:$B$20,0))</calculatedColumnFormula>
    </tableColumn>
    <tableColumn id="5" xr3:uid="{DDDDF4F9-0CF7-41A2-ADCB-194CD2FD2F03}" name="Precious Metals %" dataDxfId="85" dataCellStyle="Per cent">
      <calculatedColumnFormula>INDEX(Asset_Allocation!$E$16:$E$20,MATCH(T6,Asset_Allocation!$B$16:$B$20,0))</calculatedColumnFormula>
    </tableColumn>
    <tableColumn id="6" xr3:uid="{5495B9E9-DC1F-4969-AE0D-068535B2A2C2}" name="Alternatives %" dataDxfId="84" dataCellStyle="Per cent">
      <calculatedColumnFormula>INDEX(Asset_Allocation!$F$16:$F$20,MATCH(T6,Asset_Allocation!$B$16:$B$20,0))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FE3A91-F482-4286-837E-DC43742F5EC6}" name="Table2" displayName="Table2" ref="A5:L8" totalsRowShown="0">
  <autoFilter ref="A5:L8" xr:uid="{90FE3A91-F482-4286-837E-DC43742F5EC6}"/>
  <tableColumns count="12">
    <tableColumn id="1" xr3:uid="{094E6B38-4BCD-4EF8-BE65-9F8706EFB0F3}" name="Risk Profile" dataCellStyle="40% - Accent1"/>
    <tableColumn id="2" xr3:uid="{B1D95803-C042-49CE-9BD6-8835C8E009C0}" name="Equity %" dataDxfId="83"/>
    <tableColumn id="3" xr3:uid="{7506AF6E-D719-4C43-9D9C-4894A9A75CCF}" name="Debt %" dataDxfId="82"/>
    <tableColumn id="4" xr3:uid="{113BC00F-CA03-4EF9-AC9F-7BA07F6A38B2}" name="Precious Metals %" dataDxfId="81"/>
    <tableColumn id="5" xr3:uid="{1A2CC55A-007C-4E06-AE1F-4BB92AB45A0E}" name="Alternatives %" dataDxfId="80"/>
    <tableColumn id="6" xr3:uid="{A14D511E-CD02-479C-B7A6-A137CDF95B84}" name="Large Cap %" dataDxfId="79"/>
    <tableColumn id="7" xr3:uid="{51F7B28B-3434-4A12-89FC-0728A22F2B7A}" name="Mid Cap %" dataDxfId="78"/>
    <tableColumn id="8" xr3:uid="{C3AA8399-D4AD-44A5-95C4-6CEB5A1500E1}" name="Small Cap %" dataDxfId="77"/>
    <tableColumn id="9" xr3:uid="{36A63AF3-C709-4088-B950-BDCB95B98EFD}" name="Govt Bonds %" dataDxfId="76"/>
    <tableColumn id="10" xr3:uid="{3EC46AF0-C2A9-4BB7-A12C-06AE0CC24546}" name="Corp Bonds %" dataDxfId="75"/>
    <tableColumn id="11" xr3:uid="{9284CA60-0BF1-4C31-AA22-629992F74306}" name="Domestic %" dataDxfId="74"/>
    <tableColumn id="12" xr3:uid="{5A6709FD-4ED4-45FB-A740-946F0190A4DB}" name="International %" dataDxfId="7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90CDD6-58C4-4EDC-962C-B7EA6AB0C40D}" name="Table6" displayName="Table6" ref="A15:F20" totalsRowShown="0" dataDxfId="72" dataCellStyle="Per cent">
  <autoFilter ref="A15:F20" xr:uid="{9C90CDD6-58C4-4EDC-962C-B7EA6AB0C40D}"/>
  <tableColumns count="6">
    <tableColumn id="1" xr3:uid="{26BF2B8C-35F5-4373-A804-971731F3683C}" name="Years Left" dataCellStyle="Note"/>
    <tableColumn id="2" xr3:uid="{8D6BE082-668F-4FF0-9B13-5DA991F23B2C}" name="Risk Stage " dataCellStyle="40% - Accent1"/>
    <tableColumn id="3" xr3:uid="{4DB061F1-21EA-475E-8CEA-224341D44432}" name="Equity%" dataDxfId="71" dataCellStyle="Per cent"/>
    <tableColumn id="4" xr3:uid="{90A4050E-5170-4E89-9955-92AFFCD032AD}" name="Debt%" dataDxfId="70" dataCellStyle="Per cent"/>
    <tableColumn id="5" xr3:uid="{B0D1F2F5-6F23-49A6-BC83-4F95FBCBE72D}" name="Precious Metals %" dataDxfId="69" dataCellStyle="Per cent"/>
    <tableColumn id="6" xr3:uid="{494FD4CF-F38B-4C29-952A-021312CF052C}" name="Alternatives %" dataDxfId="68" dataCellStyle="Per ce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D87E3F-8961-44B8-82E1-498F71C60EE0}" name="Table10" displayName="Table10" ref="A19:E23" totalsRowShown="0">
  <autoFilter ref="A19:E23" xr:uid="{0BD87E3F-8961-44B8-82E1-498F71C60EE0}"/>
  <tableColumns count="5">
    <tableColumn id="1" xr3:uid="{33CD8A6A-68A8-41C7-9FCD-640B5BEAA9A4}" name="Asset class"/>
    <tableColumn id="2" xr3:uid="{E1BD8740-D6A6-4FEB-9F67-9B31685CCF09}" name="Actual %" dataDxfId="67" dataCellStyle="Per cent"/>
    <tableColumn id="3" xr3:uid="{927ED520-EE6A-44A4-B6A7-1866545B4964}" name="Target % " dataDxfId="66" dataCellStyle="Per cent"/>
    <tableColumn id="4" xr3:uid="{36B620B5-7D56-4E0C-98E2-351697CA5A30}" name="Drift " dataDxfId="65">
      <calculatedColumnFormula>B20-C20</calculatedColumnFormula>
    </tableColumn>
    <tableColumn id="5" xr3:uid="{3940A98A-FFAD-480F-8DA1-B4EAEB252AD5}" name="Rebalance Flag">
      <calculatedColumnFormula>IF(ABS(D20)&gt;5%,"Rebalance","Hold")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3A00BC-B824-4C4D-BF04-044828AE1A31}" name="Table15" displayName="Table15" ref="A5:H14" totalsRowShown="0" dataDxfId="64" dataCellStyle="Per cent">
  <autoFilter ref="A5:H14" xr:uid="{E73A00BC-B824-4C4D-BF04-044828AE1A31}"/>
  <tableColumns count="8">
    <tableColumn id="1" xr3:uid="{7B3A970C-A6BB-440D-B55B-948D8C6DDD53}" name="Goal"/>
    <tableColumn id="2" xr3:uid="{84757745-0415-4DA0-B367-6A9237117D0E}" name="Target FV" dataDxfId="63" dataCellStyle="Comma"/>
    <tableColumn id="3" xr3:uid="{FFCC99D2-28D2-47CC-BF2C-C303C8A978FA}" name="Weight  " dataDxfId="62" dataCellStyle="Per cent">
      <calculatedColumnFormula>B6/$B$14</calculatedColumnFormula>
    </tableColumn>
    <tableColumn id="4" xr3:uid="{9056A92F-B767-48CF-A944-CC6859CD8DF0}" name="Equity %" dataDxfId="61" dataCellStyle="Per cent"/>
    <tableColumn id="5" xr3:uid="{B0EC6E02-B312-4E13-AE50-AE2C9CF0E516}" name="Debt %" dataDxfId="60" dataCellStyle="Per cent"/>
    <tableColumn id="6" xr3:uid="{054722B0-24FB-4117-A944-BBCC91AA0D6F}" name="Precious Metals %" dataDxfId="59" dataCellStyle="Per cent"/>
    <tableColumn id="7" xr3:uid="{C4186581-9D79-4B15-B2EB-BB49829173BB}" name="Alternatives %" dataDxfId="58" dataCellStyle="Per cent"/>
    <tableColumn id="8" xr3:uid="{C6750C29-2690-4B35-861B-011B58CF7F9F}" name="Goal SIP" dataDxfId="57" dataCellStyle="Comm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F81836-22C8-438C-920A-0C6E62F54386}" name="Table16" displayName="Table16" ref="I5:M13" totalsRowShown="0" dataDxfId="56" dataCellStyle="Per cent">
  <autoFilter ref="I5:M13" xr:uid="{7AF81836-22C8-438C-920A-0C6E62F54386}"/>
  <tableColumns count="5">
    <tableColumn id="1" xr3:uid="{61880969-217C-4966-937C-47C1B2A6C9F7}" name="Years Left" dataCellStyle="Note">
      <calculatedColumnFormula>MAX(0,'Goals Input'!S6-Simulation!$A$6+1)</calculatedColumnFormula>
    </tableColumn>
    <tableColumn id="2" xr3:uid="{91AC7051-9A0C-4BD0-8723-056CA5E1B1C9}" name="Target Equity %" dataDxfId="55" dataCellStyle="Per cent">
      <calculatedColumnFormula>IF(I6&gt;15,80%,IF(I6&gt;10,70%,IF(I6&gt;7,60%,IF(I6&gt;3,45%,25%))))</calculatedColumnFormula>
    </tableColumn>
    <tableColumn id="3" xr3:uid="{C40C1259-2957-4927-A34F-66D8311CAF77}" name="Target Debt %" dataDxfId="54" dataCellStyle="Per cent">
      <calculatedColumnFormula>IF(I6&gt;15,10%,IF(I6&gt;10,20%,IF(I6&gt;7,25%,IF(I6&gt;3,40%,60%))))</calculatedColumnFormula>
    </tableColumn>
    <tableColumn id="4" xr3:uid="{B8A47A0E-FF91-49B2-A48D-DE596F0BCA90}" name="Target  Precious Metals %" dataDxfId="53" dataCellStyle="Per cent">
      <calculatedColumnFormula>IF(I6&gt;15,5%,IF(I6&gt;10,5%,IF(I6&gt;7,10%,IF(I6&gt;3,10%,10%))))</calculatedColumnFormula>
    </tableColumn>
    <tableColumn id="5" xr3:uid="{AC2AE30C-C0BB-4D5C-B3B6-1FE3E253EC48}" name="Target Alternatives %" dataDxfId="52" dataCellStyle="Per cent">
      <calculatedColumnFormula>IF(I6&gt;15,5%,IF(I6&gt;10,5%,IF(I6&gt;7,5%,IF(I6&gt;3,5%,5%))))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40C760-597C-4DCF-9B04-1DC99571D2E6}" name="Table17" displayName="Table17" ref="N5:Q13" totalsRowShown="0">
  <autoFilter ref="N5:Q13" xr:uid="{2240C760-597C-4DCF-9B04-1DC99571D2E6}"/>
  <tableColumns count="4">
    <tableColumn id="1" xr3:uid="{0A72BC44-333C-4A7B-94FF-EF215F161310}" name="Equity Drift" dataDxfId="51">
      <calculatedColumnFormula>D6-J6</calculatedColumnFormula>
    </tableColumn>
    <tableColumn id="2" xr3:uid="{5D548AA4-8CE2-4C71-9864-2E3F33AC37A4}" name="Debt Drift" dataDxfId="50">
      <calculatedColumnFormula>E6-K6</calculatedColumnFormula>
    </tableColumn>
    <tableColumn id="3" xr3:uid="{C3403A1E-30CF-4319-80B0-28ECADF75B04}" name="Precious Metals Drift" dataDxfId="49">
      <calculatedColumnFormula>F6-L6</calculatedColumnFormula>
    </tableColumn>
    <tableColumn id="4" xr3:uid="{A98D6EB5-10DC-404D-B72E-4ECDF5DC41B7}" name=" Alternatives Drift" dataDxfId="48">
      <calculatedColumnFormula>G6-M6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8A9162-775E-4BB7-9208-B29D071361C7}" name="Table20" displayName="Table20" ref="R5:U13" totalsRowShown="0">
  <autoFilter ref="R5:U13" xr:uid="{4E8A9162-775E-4BB7-9208-B29D071361C7}"/>
  <tableColumns count="4">
    <tableColumn id="1" xr3:uid="{44BC5F8C-7D4B-47A3-A138-606B2E79DD87}" name="Equity Flag ">
      <calculatedColumnFormula>IF(ABS(N6)&gt;5%,"Rebalance","Hold")</calculatedColumnFormula>
    </tableColumn>
    <tableColumn id="2" xr3:uid="{C365899D-84BD-4BE7-97E2-24840B4CF0E1}" name="Debt Flag ">
      <calculatedColumnFormula>IF(ABS(O6)&gt;5%,"Rebalance","Hold")</calculatedColumnFormula>
    </tableColumn>
    <tableColumn id="3" xr3:uid="{D37495DE-C4E8-415C-8F49-B079576E8177}" name="Precious Metals Flag ">
      <calculatedColumnFormula>IF(ABS(P6)&gt;5%,"Rebalance","Hold")</calculatedColumnFormula>
    </tableColumn>
    <tableColumn id="4" xr3:uid="{5250212D-0289-4820-A936-B6638AE0653F}" name=" Alternatives Flag">
      <calculatedColumnFormula>IF(ABS(Q6)&gt;5%,"Rebalance","Hold")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8A81C8-C6BE-4C5B-9DC1-23C6A0BE51F2}" name="Table21" displayName="Table21" ref="V5:W13" totalsRowShown="0">
  <autoFilter ref="V5:W13" xr:uid="{A88A81C8-C6BE-4C5B-9DC1-23C6A0BE51F2}"/>
  <tableColumns count="2">
    <tableColumn id="1" xr3:uid="{775300B6-452A-479C-8937-394AEB384AB9}" name="Overall Portfolio Rebalance Flag ">
      <calculatedColumnFormula>IF(COUNTIF(R6:U6,"Rebalance")&gt;0,"Rebalance Portfolio","Hold")</calculatedColumnFormula>
    </tableColumn>
    <tableColumn id="2" xr3:uid="{4317A051-7461-433C-A883-98B980601DFE}" name="Rebalance Reason ">
      <calculatedColumnFormula>IF(COUNTIF(R8:U8,"Rebalance")=0,
"Within Threshold",
_xlfn.TEXTJOIN(", ",TRUE,
IF(R8="Rebalance","Equity",""),
IF(S8="Rebalance","Debt",""),
IF(T8="Rebalance","Gold",""),
IF(U8="Rebalance","Alternative","")
))</calculatedColumnFormula>
    </tableColumn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C141E-6F28-4D0F-92CA-915D74841B10}" name="Table3" displayName="Table3" ref="B19:I34" totalsRowShown="0" dataDxfId="47" dataCellStyle="Comma">
  <autoFilter ref="B19:I34" xr:uid="{D8CC141E-6F28-4D0F-92CA-915D74841B10}"/>
  <tableColumns count="8">
    <tableColumn id="1" xr3:uid="{965D9A0E-685E-4A47-BED4-43A21CE879EA}" name="Emergency Fund" dataDxfId="46" dataCellStyle="Comma">
      <calculatedColumnFormula>Table4[[#This Row],[Emergency Fund SIP]]</calculatedColumnFormula>
    </tableColumn>
    <tableColumn id="2" xr3:uid="{0DC56939-078F-42F8-90A5-AF65BFA5111D}" name="Vacation" dataDxfId="45" dataCellStyle="Comma">
      <calculatedColumnFormula>(C19*(1+S20))+K20</calculatedColumnFormula>
    </tableColumn>
    <tableColumn id="3" xr3:uid="{5526B873-B767-490B-8878-FC1BA34CBB8C}" name="Car Down Payment" dataDxfId="44" dataCellStyle="Comma">
      <calculatedColumnFormula>(D19*(1+T20))+L20</calculatedColumnFormula>
    </tableColumn>
    <tableColumn id="4" xr3:uid="{06E970CC-CF6D-4D6B-8FCD-AA100585B649}" name="Education Fund" dataDxfId="43" dataCellStyle="Comma">
      <calculatedColumnFormula>(E19*(1+U20))+M20</calculatedColumnFormula>
    </tableColumn>
    <tableColumn id="5" xr3:uid="{25514634-C63F-45B2-BBB5-FFE36308C5FA}" name="Retirement" dataDxfId="42" dataCellStyle="Comma">
      <calculatedColumnFormula>(F19*(1+V20))+N20</calculatedColumnFormula>
    </tableColumn>
    <tableColumn id="6" xr3:uid="{66E8517C-4B90-45CC-ABEA-F810886170D8}" name="Marriage" dataDxfId="41" dataCellStyle="Comma">
      <calculatedColumnFormula>(G19*(1+W20))+O20</calculatedColumnFormula>
    </tableColumn>
    <tableColumn id="7" xr3:uid="{22CD57C7-A95B-4A00-8AAC-2BD7CE2EB9FC}" name="Home Upgrade" dataDxfId="40" dataCellStyle="Comma">
      <calculatedColumnFormula>(H19*(1+X20))+P20</calculatedColumnFormula>
    </tableColumn>
    <tableColumn id="8" xr3:uid="{66AAF062-C6B4-48EF-994C-1BFB0B648D02}" name="Philanthropy " dataDxfId="39" dataCellStyle="Comma">
      <calculatedColumnFormula>(I19*(1+Y20))+Q20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DA065-953E-47C1-A4E2-7EC8090B46E2}" name="Table4" displayName="Table4" ref="J19:Q34" totalsRowShown="0" dataDxfId="38" dataCellStyle="Comma">
  <autoFilter ref="J19:Q34" xr:uid="{467DA065-953E-47C1-A4E2-7EC8090B46E2}"/>
  <tableColumns count="8">
    <tableColumn id="1" xr3:uid="{5AE971E4-495D-4BF0-B3C7-08BBF8F78724}" name="Emergency Fund SIP" dataDxfId="37" dataCellStyle="Comma">
      <calculatedColumnFormula>J19*1.05</calculatedColumnFormula>
    </tableColumn>
    <tableColumn id="2" xr3:uid="{693FB9B9-BD96-491B-BE7D-27A1308B27D2}" name="Vacation SIP" dataDxfId="36" dataCellStyle="Comma">
      <calculatedColumnFormula>K19*1.05</calculatedColumnFormula>
    </tableColumn>
    <tableColumn id="3" xr3:uid="{BE477DBD-7D42-4783-98FD-24B0BCB5C368}" name="Car Down Payment SIP" dataDxfId="35" dataCellStyle="Comma">
      <calculatedColumnFormula>L19*1.05</calculatedColumnFormula>
    </tableColumn>
    <tableColumn id="4" xr3:uid="{4ABC01AE-F213-4651-861F-BE99386608E6}" name="Education Fund SIP " dataDxfId="34" dataCellStyle="Comma">
      <calculatedColumnFormula>M19*1.05</calculatedColumnFormula>
    </tableColumn>
    <tableColumn id="5" xr3:uid="{9C5A60CB-7544-408C-B4E2-81A5395E8CDF}" name="Retirement SIP" dataDxfId="33" dataCellStyle="Comma">
      <calculatedColumnFormula>N19*1.05</calculatedColumnFormula>
    </tableColumn>
    <tableColumn id="6" xr3:uid="{919DF7E9-7FA1-46E7-9AA9-B3DE5D00C950}" name="Marriage SIP" dataDxfId="32" dataCellStyle="Comma">
      <calculatedColumnFormula>O19*1.05</calculatedColumnFormula>
    </tableColumn>
    <tableColumn id="7" xr3:uid="{30A97A37-B7D2-4B95-9F35-5242A0466C87}" name="Home Upgrade SIP" dataDxfId="31" dataCellStyle="Comma">
      <calculatedColumnFormula>P19*1.05</calculatedColumnFormula>
    </tableColumn>
    <tableColumn id="8" xr3:uid="{09BC62B3-0F92-4FF6-8FB6-3653F32132A0}" name="Philanthropy SIP" dataDxfId="30" dataCellStyle="Comma">
      <calculatedColumnFormula>Q19*1.05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02BF85-9E98-4A17-9244-F63FE8B6BAB4}" name="Table5" displayName="Table5" ref="R19:Y35" totalsRowShown="0">
  <autoFilter ref="R19:Y35" xr:uid="{7502BF85-9E98-4A17-9244-F63FE8B6BAB4}"/>
  <tableColumns count="8">
    <tableColumn id="1" xr3:uid="{78F584F3-E133-4456-B811-09881DEFE195}" name="Emergency Fund Return" dataDxfId="29"/>
    <tableColumn id="2" xr3:uid="{F36B9152-D9E6-4EB4-AC07-FC79061D2F5E}" name="Vacation Return" dataDxfId="28"/>
    <tableColumn id="3" xr3:uid="{EEDB1E63-3429-4CA8-AD38-C34C8FCA2797}" name="Car Return" dataDxfId="27"/>
    <tableColumn id="4" xr3:uid="{A2FC6664-C630-4D09-BA73-99759E467285}" name="Education Return" dataDxfId="26"/>
    <tableColumn id="5" xr3:uid="{50948071-5744-40CE-97C1-9A93DB1FB9F5}" name="Retirement Return" dataDxfId="25"/>
    <tableColumn id="6" xr3:uid="{C0AB4736-709A-4B1E-BBFC-BD11DBC8A61E}" name="Marriage Return" dataDxfId="24"/>
    <tableColumn id="7" xr3:uid="{778B0F2E-CBBD-402C-AB2A-67A46C149653}" name="Home Return" dataDxfId="23"/>
    <tableColumn id="8" xr3:uid="{F22D35BA-CA27-4A47-8224-9C277B1B07A9}" name="Philanthropy Return" dataDxfId="22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FB72E0-F2CD-4C02-BF12-0218C562D200}" name="Table7" displayName="Table7" ref="A5:J15" totalsRowShown="0">
  <autoFilter ref="A5:J15" xr:uid="{E5FB72E0-F2CD-4C02-BF12-0218C562D200}"/>
  <tableColumns count="10">
    <tableColumn id="1" xr3:uid="{4D290309-FC0F-4B94-99E1-041878943DD7}" name="Year" dataCellStyle="Note"/>
    <tableColumn id="2" xr3:uid="{03B327BC-FDC5-4849-8FC0-6B23CA884D47}" name="Portfolio Value" dataDxfId="21" dataCellStyle="Comma">
      <calculatedColumnFormula>I5</calculatedColumnFormula>
    </tableColumn>
    <tableColumn id="3" xr3:uid="{B2FB0942-9F5F-41BE-8217-566394446E8D}" name="Equity Return" dataDxfId="20"/>
    <tableColumn id="4" xr3:uid="{A3E9FD3A-3F30-43FC-879C-9DAB491E679B}" name="Debt Return" dataDxfId="19"/>
    <tableColumn id="5" xr3:uid="{B862E20E-D38F-40DA-B9E4-2C0EA560817D}" name="Metals Return" dataDxfId="18"/>
    <tableColumn id="6" xr3:uid="{9238B6A7-4B67-496A-A4D0-6C39B8DFF519}" name="Alt Return" dataDxfId="17"/>
    <tableColumn id="7" xr3:uid="{688918E8-D602-4BC8-B5DC-6E53E08F2E87}" name="Portfolio Return" dataDxfId="16" dataCellStyle="Per cent">
      <calculatedColumnFormula>SUMPRODUCT(N6:Q6,C6:F6)</calculatedColumnFormula>
    </tableColumn>
    <tableColumn id="8" xr3:uid="{6E47AABE-99B7-4180-B733-3DCB34151C45}" name="SIP (Yearly)" dataDxfId="15" dataCellStyle="Comma">
      <calculatedColumnFormula>Cash_Flow!D23</calculatedColumnFormula>
    </tableColumn>
    <tableColumn id="9" xr3:uid="{2335B0E8-DE02-4039-A7F6-7E67E2D604A6}" name="New Value" dataDxfId="14" dataCellStyle="Comma">
      <calculatedColumnFormula>(B6*(1+G6))+H6</calculatedColumnFormula>
    </tableColumn>
    <tableColumn id="10" xr3:uid="{98D811BE-4D83-4F82-8757-6A69D97D6966}" name="Funded Ratio" dataDxfId="13" dataCellStyle="Per cen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58EBAA-CBD8-41F9-B0CF-2157A3D93746}" name="Table11" displayName="Table11" ref="A19:A34" totalsRowShown="0" dataCellStyle="Note">
  <autoFilter ref="A19:A34" xr:uid="{2458EBAA-CBD8-41F9-B0CF-2157A3D93746}"/>
  <tableColumns count="1">
    <tableColumn id="1" xr3:uid="{067FE272-9E33-4FBB-9E9F-163C26168E9F}" name=" Year" dataCellStyle="Not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D8D1B1-E055-4FD0-B404-DE18729A500F}" name="Table8" displayName="Table8" ref="A5:I18" totalsRowShown="0" dataDxfId="12" dataCellStyle="Comma">
  <autoFilter ref="A5:I18" xr:uid="{81D8D1B1-E055-4FD0-B404-DE18729A500F}"/>
  <tableColumns count="9">
    <tableColumn id="1" xr3:uid="{A1402D8D-A65D-45AE-AC9F-37E8E9684BBA}" name="Month"/>
    <tableColumn id="2" xr3:uid="{9B711FA0-9959-4C26-955C-63C91DDF5F18}" name="Income" dataDxfId="11" dataCellStyle="Comma"/>
    <tableColumn id="3" xr3:uid="{6F411221-B8AD-4C81-ABE6-8701228C96E1}" name="Fixed Expenses" dataDxfId="10" dataCellStyle="Comma"/>
    <tableColumn id="4" xr3:uid="{797F9CD0-D37F-4E8E-A8D0-76D8D8FAD1FD}" name="Variable Expenses" dataDxfId="9" dataCellStyle="Comma"/>
    <tableColumn id="5" xr3:uid="{BDDC0ACA-1509-4932-BD7D-12D2147FE80E}" name="Total Expenses" dataDxfId="8" dataCellStyle="Comma"/>
    <tableColumn id="6" xr3:uid="{CF7E8337-D793-4CEE-8CC2-23BCB745BCBD}" name="SIP Total" dataDxfId="7" dataCellStyle="Comma"/>
    <tableColumn id="7" xr3:uid="{8CC81288-6AAE-4D2A-A710-1374060F1F47}" name="Surplus" dataDxfId="6" dataCellStyle="Comma">
      <calculatedColumnFormula>B6-E6-F6</calculatedColumnFormula>
    </tableColumn>
    <tableColumn id="8" xr3:uid="{F98D65CF-1890-40B3-8700-DF15148A01B2}" name="Status">
      <calculatedColumnFormula>IF(G6&gt;=0,"Healthy","Deficit")</calculatedColumnFormula>
    </tableColumn>
    <tableColumn id="9" xr3:uid="{43102093-1F2F-4E21-9350-0F3D33E4A4D0}" name="Saving %" dataDxfId="5" dataCellStyle="Per cent">
      <calculatedColumnFormula>G6/B6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1FB148-5AF5-4A18-B2FA-D0CBF573044B}" name="Table9" displayName="Table9" ref="A22:F32" totalsRowShown="0">
  <autoFilter ref="A22:F32" xr:uid="{AD1FB148-5AF5-4A18-B2FA-D0CBF573044B}"/>
  <tableColumns count="6">
    <tableColumn id="1" xr3:uid="{0FF3BAB2-A76A-4600-9FD1-581797482075}" name="Year" dataCellStyle="Note"/>
    <tableColumn id="2" xr3:uid="{A3EE3566-594C-4AAF-A264-718DA7903690}" name="Total Income" dataDxfId="4">
      <calculatedColumnFormula>B22*(1+$L$8)</calculatedColumnFormula>
    </tableColumn>
    <tableColumn id="3" xr3:uid="{81C536E7-F85F-42AA-A713-5693F7B658E1}" name="Total Expenses" dataDxfId="3">
      <calculatedColumnFormula>C22*(1+$L$9)</calculatedColumnFormula>
    </tableColumn>
    <tableColumn id="4" xr3:uid="{A4C45F91-080A-44A9-A11E-3E6B63A10269}" name="Total SIP (5% incerse every year)" dataDxfId="2">
      <calculatedColumnFormula>D22*(1+5%)</calculatedColumnFormula>
    </tableColumn>
    <tableColumn id="5" xr3:uid="{BBFC8F73-4F8C-45A4-A3D8-B9F0CBEE3A1B}" name="Surplus" dataDxfId="1">
      <calculatedColumnFormula>B23-C23-D23</calculatedColumnFormula>
    </tableColumn>
    <tableColumn id="6" xr3:uid="{BC671FAE-4BAF-4230-901D-FE3E2F77359B}" name="Savings %" dataDxfId="0">
      <calculatedColumnFormula>E23/B23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C522-1F0E-4D47-9CD7-667F2C386AA1}">
  <dimension ref="A3:X19"/>
  <sheetViews>
    <sheetView topLeftCell="A10" zoomScale="90" zoomScaleNormal="90" workbookViewId="0">
      <selection activeCell="D6" sqref="D6"/>
    </sheetView>
  </sheetViews>
  <sheetFormatPr defaultRowHeight="14.25" x14ac:dyDescent="0.45"/>
  <cols>
    <col min="1" max="1" width="16.3984375" bestFit="1" customWidth="1"/>
    <col min="2" max="2" width="26.46484375" bestFit="1" customWidth="1"/>
    <col min="3" max="3" width="12.53125" customWidth="1"/>
    <col min="4" max="4" width="21.19921875" customWidth="1"/>
    <col min="5" max="5" width="18.53125" customWidth="1"/>
    <col min="6" max="6" width="10.73046875" customWidth="1"/>
    <col min="7" max="7" width="14.73046875" bestFit="1" customWidth="1"/>
    <col min="8" max="8" width="14.796875" customWidth="1"/>
    <col min="9" max="9" width="18.59765625" bestFit="1" customWidth="1"/>
    <col min="10" max="10" width="14.9296875" customWidth="1"/>
    <col min="11" max="11" width="13.33203125" customWidth="1"/>
    <col min="12" max="12" width="11.19921875" customWidth="1"/>
    <col min="14" max="14" width="9.19921875" customWidth="1"/>
    <col min="16" max="16" width="16.796875" customWidth="1"/>
    <col min="17" max="17" width="13.73046875" customWidth="1"/>
    <col min="18" max="18" width="24.06640625" bestFit="1" customWidth="1"/>
    <col min="19" max="19" width="10.6640625" customWidth="1"/>
    <col min="20" max="20" width="11.06640625" customWidth="1"/>
    <col min="21" max="21" width="9.19921875" customWidth="1"/>
    <col min="23" max="23" width="16.796875" customWidth="1"/>
    <col min="24" max="24" width="13.73046875" customWidth="1"/>
  </cols>
  <sheetData>
    <row r="3" spans="1:24" ht="29.25" x14ac:dyDescent="0.9">
      <c r="B3" s="4" t="s">
        <v>30</v>
      </c>
    </row>
    <row r="4" spans="1:24" x14ac:dyDescent="0.45">
      <c r="P4" s="19" t="s">
        <v>178</v>
      </c>
      <c r="Q4" s="19"/>
      <c r="U4" s="19" t="s">
        <v>177</v>
      </c>
      <c r="V4" s="19"/>
      <c r="W4" s="19"/>
    </row>
    <row r="5" spans="1:24" x14ac:dyDescent="0.45">
      <c r="A5" t="s">
        <v>0</v>
      </c>
      <c r="B5" t="s">
        <v>9</v>
      </c>
      <c r="C5" t="s">
        <v>24</v>
      </c>
      <c r="D5" t="s">
        <v>25</v>
      </c>
      <c r="E5" t="s">
        <v>3</v>
      </c>
      <c r="F5" t="s">
        <v>4</v>
      </c>
      <c r="G5" t="s">
        <v>5</v>
      </c>
      <c r="H5" t="s">
        <v>26</v>
      </c>
      <c r="I5" s="12" t="s">
        <v>133</v>
      </c>
      <c r="J5" t="s">
        <v>2</v>
      </c>
      <c r="K5" t="s">
        <v>6</v>
      </c>
      <c r="L5" t="s">
        <v>7</v>
      </c>
      <c r="M5" t="s">
        <v>8</v>
      </c>
      <c r="N5" s="2" t="s">
        <v>31</v>
      </c>
      <c r="O5" s="2" t="s">
        <v>32</v>
      </c>
      <c r="P5" s="2" t="s">
        <v>41</v>
      </c>
      <c r="Q5" s="2" t="s">
        <v>33</v>
      </c>
      <c r="R5" s="17" t="s">
        <v>135</v>
      </c>
      <c r="S5" s="2" t="s">
        <v>150</v>
      </c>
      <c r="T5" s="2" t="s">
        <v>139</v>
      </c>
      <c r="U5" s="2" t="s">
        <v>31</v>
      </c>
      <c r="V5" s="2" t="s">
        <v>32</v>
      </c>
      <c r="W5" s="2" t="s">
        <v>41</v>
      </c>
      <c r="X5" s="2" t="s">
        <v>33</v>
      </c>
    </row>
    <row r="6" spans="1:24" x14ac:dyDescent="0.45">
      <c r="A6" s="31" t="s">
        <v>10</v>
      </c>
      <c r="B6" t="s">
        <v>11</v>
      </c>
      <c r="C6" t="s">
        <v>12</v>
      </c>
      <c r="D6" s="6">
        <v>500000</v>
      </c>
      <c r="E6">
        <v>1</v>
      </c>
      <c r="F6" s="1">
        <v>0.06</v>
      </c>
      <c r="G6" s="6">
        <f>D6*(1+F6)^E6</f>
        <v>530000</v>
      </c>
      <c r="H6" s="6">
        <v>100000</v>
      </c>
      <c r="I6" s="13">
        <v>20000</v>
      </c>
      <c r="J6" s="1">
        <v>0.08</v>
      </c>
      <c r="K6" s="6">
        <f>G6/(1+J6)^E6</f>
        <v>490740.74074074073</v>
      </c>
      <c r="L6" t="str">
        <f>IF(E6&lt;=3,"Conservative",IF(E6&lt;=10,"Moderate","Aggressive"))</f>
        <v>Conservative</v>
      </c>
      <c r="M6" s="8">
        <f>G6/$G$14</f>
        <v>5.1545787174157595E-3</v>
      </c>
      <c r="N6" s="2">
        <f>VLOOKUP(L6,Asset_Allocation!$A$6:$L$8,2,FALSE)</f>
        <v>0.2</v>
      </c>
      <c r="O6" s="2">
        <f>VLOOKUP(L6,Asset_Allocation!$A$6:$L$8,3,FALSE)</f>
        <v>0.6</v>
      </c>
      <c r="P6" s="2">
        <f>VLOOKUP(L6,Asset_Allocation!$A$6:$L$8,4,FALSE)</f>
        <v>0.1</v>
      </c>
      <c r="Q6" s="2">
        <f>VLOOKUP(L6,Asset_Allocation!$A$6:$L$8,5,FALSE)</f>
        <v>0.1</v>
      </c>
      <c r="R6" s="18">
        <f t="shared" ref="R6:R13" si="0">$C$18*M6</f>
        <v>5999.9296270719442</v>
      </c>
      <c r="S6" s="22">
        <f>E6-(Simulation!A6)+1</f>
        <v>1</v>
      </c>
      <c r="T6" s="21" t="str">
        <f>IF(S6&gt;15,"Aggressive",IF(S6&gt;10,"Growth",IF(S6&gt;7,"Moderate",IF(S6&gt;3,"Balanced","Conservative"))))</f>
        <v>Conservative</v>
      </c>
      <c r="U6" s="2">
        <f>INDEX(Asset_Allocation!$C$16:$C$20,MATCH(T6,Asset_Allocation!$B$16:$B$20,0))</f>
        <v>0.25</v>
      </c>
      <c r="V6" s="2">
        <f>INDEX(Asset_Allocation!$D$16:$D$20,MATCH(T6,Asset_Allocation!$B$16:$B$20,0))</f>
        <v>0.6</v>
      </c>
      <c r="W6" s="2">
        <f>INDEX(Asset_Allocation!$E$16:$E$20,MATCH(T6,Asset_Allocation!$B$16:$B$20,0))</f>
        <v>0.1</v>
      </c>
      <c r="X6" s="2">
        <f>INDEX(Asset_Allocation!$F$16:$F$20,MATCH(T6,Asset_Allocation!$B$16:$B$20,0))</f>
        <v>0.05</v>
      </c>
    </row>
    <row r="7" spans="1:24" x14ac:dyDescent="0.45">
      <c r="A7" s="31" t="s">
        <v>13</v>
      </c>
      <c r="B7" t="s">
        <v>14</v>
      </c>
      <c r="C7" t="s">
        <v>15</v>
      </c>
      <c r="D7" s="6">
        <v>200000</v>
      </c>
      <c r="E7">
        <v>2</v>
      </c>
      <c r="F7" s="1">
        <v>0.06</v>
      </c>
      <c r="G7" s="6">
        <f t="shared" ref="G7:G13" si="1">D7*(1+F7)^E7</f>
        <v>224720.00000000003</v>
      </c>
      <c r="H7" s="6">
        <v>20000</v>
      </c>
      <c r="I7" s="13">
        <v>5000</v>
      </c>
      <c r="J7" s="1">
        <v>0.1</v>
      </c>
      <c r="K7" s="6">
        <f t="shared" ref="K7:K13" si="2">G7/(1+J7)^E7</f>
        <v>185719.00826446281</v>
      </c>
      <c r="L7" t="str">
        <f t="shared" ref="L7:L13" si="3">IF(E7&lt;=3,"Conservative",IF(E7&lt;=10,"Moderate","Aggressive"))</f>
        <v>Conservative</v>
      </c>
      <c r="M7" s="8">
        <f t="shared" ref="M7:M13" si="4">G7/$G$14</f>
        <v>2.1855413761842821E-3</v>
      </c>
      <c r="N7" s="2">
        <f>VLOOKUP(L7,Asset_Allocation!$A$6:$L$8,2,FALSE)</f>
        <v>0.2</v>
      </c>
      <c r="O7" s="2">
        <f>VLOOKUP(L7,Asset_Allocation!$A$6:$L$8,3,FALSE)</f>
        <v>0.6</v>
      </c>
      <c r="P7" s="2">
        <f>VLOOKUP(L7,Asset_Allocation!$A$6:$L$8,4,FALSE)</f>
        <v>0.1</v>
      </c>
      <c r="Q7" s="2">
        <f>VLOOKUP(L7,Asset_Allocation!$A$6:$L$8,5,FALSE)</f>
        <v>0.1</v>
      </c>
      <c r="R7" s="18">
        <f t="shared" si="0"/>
        <v>2543.9701618785043</v>
      </c>
      <c r="S7" s="22">
        <f>E7-(Simulation!$A$6)+1</f>
        <v>2</v>
      </c>
      <c r="T7" s="21" t="str">
        <f t="shared" ref="T7:T13" si="5">IF(S7&gt;15,"Aggressive",IF(S7&gt;10,"Growth",IF(S7&gt;7,"Moderate",IF(S7&gt;3,"Balanced","Conservative"))))</f>
        <v>Conservative</v>
      </c>
      <c r="U7" s="2">
        <f>INDEX(Asset_Allocation!$C$16:$C$20,MATCH(T7,Asset_Allocation!$B$16:$B$20,0))</f>
        <v>0.25</v>
      </c>
      <c r="V7" s="2">
        <f>INDEX(Asset_Allocation!$D$16:$D$20,MATCH(T7,Asset_Allocation!$B$16:$B$20,0))</f>
        <v>0.6</v>
      </c>
      <c r="W7" s="2">
        <f>INDEX(Asset_Allocation!$E$16:$E$20,MATCH(T7,Asset_Allocation!$B$16:$B$20,0))</f>
        <v>0.1</v>
      </c>
      <c r="X7" s="2">
        <f>INDEX(Asset_Allocation!$F$16:$F$20,MATCH(T7,Asset_Allocation!$B$16:$B$20,0))</f>
        <v>0.05</v>
      </c>
    </row>
    <row r="8" spans="1:24" x14ac:dyDescent="0.45">
      <c r="A8" s="31" t="s">
        <v>16</v>
      </c>
      <c r="B8" t="s">
        <v>17</v>
      </c>
      <c r="C8" t="s">
        <v>18</v>
      </c>
      <c r="D8" s="6">
        <v>500000</v>
      </c>
      <c r="E8">
        <v>3</v>
      </c>
      <c r="F8" s="1">
        <v>7.0000000000000007E-2</v>
      </c>
      <c r="G8" s="6">
        <f t="shared" si="1"/>
        <v>612521.5</v>
      </c>
      <c r="H8" s="6">
        <v>50000</v>
      </c>
      <c r="I8" s="13">
        <v>10000</v>
      </c>
      <c r="J8" s="1">
        <v>0.11</v>
      </c>
      <c r="K8" s="6">
        <f t="shared" si="2"/>
        <v>447870.44166152994</v>
      </c>
      <c r="L8" t="str">
        <f t="shared" si="3"/>
        <v>Conservative</v>
      </c>
      <c r="M8" s="8">
        <f t="shared" si="4"/>
        <v>5.957151486527504E-3</v>
      </c>
      <c r="N8" s="2">
        <f>VLOOKUP(L8,Asset_Allocation!$A$6:$L$8,2,FALSE)</f>
        <v>0.2</v>
      </c>
      <c r="O8" s="2">
        <f>VLOOKUP(L8,Asset_Allocation!$A$6:$L$8,3,FALSE)</f>
        <v>0.6</v>
      </c>
      <c r="P8" s="2">
        <f>VLOOKUP(L8,Asset_Allocation!$A$6:$L$8,4,FALSE)</f>
        <v>0.1</v>
      </c>
      <c r="Q8" s="2">
        <f>VLOOKUP(L8,Asset_Allocation!$A$6:$L$8,5,FALSE)</f>
        <v>0.1</v>
      </c>
      <c r="R8" s="18">
        <f t="shared" si="0"/>
        <v>6934.1243303180145</v>
      </c>
      <c r="S8" s="22">
        <f>E8-(Simulation!$A$6)+1</f>
        <v>3</v>
      </c>
      <c r="T8" s="21" t="str">
        <f t="shared" si="5"/>
        <v>Conservative</v>
      </c>
      <c r="U8" s="2">
        <f>INDEX(Asset_Allocation!$C$16:$C$20,MATCH(T8,Asset_Allocation!$B$16:$B$20,0))</f>
        <v>0.25</v>
      </c>
      <c r="V8" s="2">
        <f>INDEX(Asset_Allocation!$D$16:$D$20,MATCH(T8,Asset_Allocation!$B$16:$B$20,0))</f>
        <v>0.6</v>
      </c>
      <c r="W8" s="2">
        <f>INDEX(Asset_Allocation!$E$16:$E$20,MATCH(T8,Asset_Allocation!$B$16:$B$20,0))</f>
        <v>0.1</v>
      </c>
      <c r="X8" s="2">
        <f>INDEX(Asset_Allocation!$F$16:$F$20,MATCH(T8,Asset_Allocation!$B$16:$B$20,0))</f>
        <v>0.05</v>
      </c>
    </row>
    <row r="9" spans="1:24" x14ac:dyDescent="0.45">
      <c r="A9" s="31" t="s">
        <v>19</v>
      </c>
      <c r="B9" t="s">
        <v>17</v>
      </c>
      <c r="C9" t="s">
        <v>12</v>
      </c>
      <c r="D9" s="6">
        <v>5000000</v>
      </c>
      <c r="E9">
        <v>15</v>
      </c>
      <c r="F9" s="1">
        <v>0.08</v>
      </c>
      <c r="G9" s="6">
        <f t="shared" si="1"/>
        <v>15860845.570991358</v>
      </c>
      <c r="H9" s="6">
        <v>200000</v>
      </c>
      <c r="I9" s="13">
        <v>15000</v>
      </c>
      <c r="J9" s="1">
        <v>0.12</v>
      </c>
      <c r="K9" s="6">
        <f t="shared" si="2"/>
        <v>2897717.1863089553</v>
      </c>
      <c r="L9" t="str">
        <f t="shared" si="3"/>
        <v>Aggressive</v>
      </c>
      <c r="M9" s="8">
        <f t="shared" si="4"/>
        <v>0.15425656041594352</v>
      </c>
      <c r="N9" s="2">
        <f>VLOOKUP(L9,Asset_Allocation!$A$6:$L$8,2,FALSE)</f>
        <v>0.8</v>
      </c>
      <c r="O9" s="2">
        <f>VLOOKUP(L9,Asset_Allocation!$A$6:$L$8,3,FALSE)</f>
        <v>0.1</v>
      </c>
      <c r="P9" s="2">
        <f>VLOOKUP(L9,Asset_Allocation!$A$6:$L$8,4,FALSE)</f>
        <v>0.05</v>
      </c>
      <c r="Q9" s="2">
        <f>VLOOKUP(L9,Asset_Allocation!$A$6:$L$8,5,FALSE)</f>
        <v>0.05</v>
      </c>
      <c r="R9" s="18">
        <f t="shared" si="0"/>
        <v>179554.63632415826</v>
      </c>
      <c r="S9" s="22">
        <f>E9-(Simulation!$A$6)+1</f>
        <v>15</v>
      </c>
      <c r="T9" s="21" t="str">
        <f t="shared" si="5"/>
        <v>Growth</v>
      </c>
      <c r="U9" s="2">
        <f>INDEX(Asset_Allocation!$C$16:$C$20,MATCH(T9,Asset_Allocation!$B$16:$B$20,0))</f>
        <v>0.7</v>
      </c>
      <c r="V9" s="2">
        <f>INDEX(Asset_Allocation!$D$16:$D$20,MATCH(T9,Asset_Allocation!$B$16:$B$20,0))</f>
        <v>0.2</v>
      </c>
      <c r="W9" s="2">
        <f>INDEX(Asset_Allocation!$E$16:$E$20,MATCH(T9,Asset_Allocation!$B$16:$B$20,0))</f>
        <v>0.05</v>
      </c>
      <c r="X9" s="2">
        <f>INDEX(Asset_Allocation!$F$16:$F$20,MATCH(T9,Asset_Allocation!$B$16:$B$20,0))</f>
        <v>0.05</v>
      </c>
    </row>
    <row r="10" spans="1:24" x14ac:dyDescent="0.45">
      <c r="A10" s="31" t="s">
        <v>20</v>
      </c>
      <c r="B10" t="s">
        <v>11</v>
      </c>
      <c r="C10" t="s">
        <v>12</v>
      </c>
      <c r="D10" s="6">
        <v>20000000</v>
      </c>
      <c r="E10">
        <v>20</v>
      </c>
      <c r="F10" s="1">
        <v>7.0000000000000007E-2</v>
      </c>
      <c r="G10" s="6">
        <f>D10*(1+F10)^E10</f>
        <v>77393689.249723583</v>
      </c>
      <c r="H10" s="6">
        <v>500000</v>
      </c>
      <c r="I10" s="13">
        <v>20000</v>
      </c>
      <c r="J10" s="1">
        <v>0.12</v>
      </c>
      <c r="K10" s="6">
        <f t="shared" si="2"/>
        <v>8023153.4021788863</v>
      </c>
      <c r="L10" t="str">
        <f t="shared" si="3"/>
        <v>Aggressive</v>
      </c>
      <c r="M10" s="8">
        <f t="shared" si="4"/>
        <v>0.75270162918663019</v>
      </c>
      <c r="N10" s="2">
        <f>VLOOKUP(L10,Asset_Allocation!$A$6:$L$8,2,FALSE)</f>
        <v>0.8</v>
      </c>
      <c r="O10" s="2">
        <f>VLOOKUP(L10,Asset_Allocation!$A$6:$L$8,3,FALSE)</f>
        <v>0.1</v>
      </c>
      <c r="P10" s="2">
        <f>VLOOKUP(L10,Asset_Allocation!$A$6:$L$8,4,FALSE)</f>
        <v>0.05</v>
      </c>
      <c r="Q10" s="2">
        <f>VLOOKUP(L10,Asset_Allocation!$A$6:$L$8,5,FALSE)</f>
        <v>0.05</v>
      </c>
      <c r="R10" s="18">
        <f t="shared" si="0"/>
        <v>876144.69637323753</v>
      </c>
      <c r="S10" s="22">
        <f>E10-(Simulation!$A$6)+1</f>
        <v>20</v>
      </c>
      <c r="T10" s="21" t="str">
        <f t="shared" si="5"/>
        <v>Aggressive</v>
      </c>
      <c r="U10" s="2">
        <f>INDEX(Asset_Allocation!$C$16:$C$20,MATCH(T10,Asset_Allocation!$B$16:$B$20,0))</f>
        <v>0.8</v>
      </c>
      <c r="V10" s="2">
        <f>INDEX(Asset_Allocation!$D$16:$D$20,MATCH(T10,Asset_Allocation!$B$16:$B$20,0))</f>
        <v>0.1</v>
      </c>
      <c r="W10" s="2">
        <f>INDEX(Asset_Allocation!$E$16:$E$20,MATCH(T10,Asset_Allocation!$B$16:$B$20,0))</f>
        <v>0.05</v>
      </c>
      <c r="X10" s="2">
        <f>INDEX(Asset_Allocation!$F$16:$F$20,MATCH(T10,Asset_Allocation!$B$16:$B$20,0))</f>
        <v>0.05</v>
      </c>
    </row>
    <row r="11" spans="1:24" x14ac:dyDescent="0.45">
      <c r="A11" s="31" t="s">
        <v>21</v>
      </c>
      <c r="B11" t="s">
        <v>17</v>
      </c>
      <c r="C11" t="s">
        <v>18</v>
      </c>
      <c r="D11" s="6">
        <v>3000000</v>
      </c>
      <c r="E11">
        <v>10</v>
      </c>
      <c r="F11" s="1">
        <v>7.0000000000000007E-2</v>
      </c>
      <c r="G11" s="6">
        <f t="shared" si="1"/>
        <v>5901454.0718686972</v>
      </c>
      <c r="H11" s="6">
        <v>100000</v>
      </c>
      <c r="I11" s="13">
        <v>10000</v>
      </c>
      <c r="J11" s="1">
        <v>0.11</v>
      </c>
      <c r="K11" s="6">
        <f t="shared" si="2"/>
        <v>2078400.5263125326</v>
      </c>
      <c r="L11" t="str">
        <f t="shared" si="3"/>
        <v>Moderate</v>
      </c>
      <c r="M11" s="8">
        <f t="shared" si="4"/>
        <v>5.7395301057850866E-2</v>
      </c>
      <c r="N11" s="2">
        <f>VLOOKUP(L11,Asset_Allocation!$A$6:$L$8,2,FALSE)</f>
        <v>0.5</v>
      </c>
      <c r="O11" s="2">
        <f>VLOOKUP(L11,Asset_Allocation!$A$6:$L$8,3,FALSE)</f>
        <v>0.3</v>
      </c>
      <c r="P11" s="2">
        <f>VLOOKUP(L11,Asset_Allocation!$A$6:$L$8,4,FALSE)</f>
        <v>0.1</v>
      </c>
      <c r="Q11" s="2">
        <f>VLOOKUP(L11,Asset_Allocation!$A$6:$L$8,5,FALSE)</f>
        <v>0.1</v>
      </c>
      <c r="R11" s="18">
        <f t="shared" si="0"/>
        <v>66808.130431338403</v>
      </c>
      <c r="S11" s="22">
        <f>E11-(Simulation!$A$6)+1</f>
        <v>10</v>
      </c>
      <c r="T11" s="21" t="str">
        <f t="shared" si="5"/>
        <v>Moderate</v>
      </c>
      <c r="U11" s="2">
        <f>INDEX(Asset_Allocation!$C$16:$C$20,MATCH(T11,Asset_Allocation!$B$16:$B$20,0))</f>
        <v>0.6</v>
      </c>
      <c r="V11" s="2">
        <f>INDEX(Asset_Allocation!$D$16:$D$20,MATCH(T11,Asset_Allocation!$B$16:$B$20,0))</f>
        <v>0.25</v>
      </c>
      <c r="W11" s="2">
        <f>INDEX(Asset_Allocation!$E$16:$E$20,MATCH(T11,Asset_Allocation!$B$16:$B$20,0))</f>
        <v>0.1</v>
      </c>
      <c r="X11" s="2">
        <f>INDEX(Asset_Allocation!$F$16:$F$20,MATCH(T11,Asset_Allocation!$B$16:$B$20,0))</f>
        <v>0.05</v>
      </c>
    </row>
    <row r="12" spans="1:24" x14ac:dyDescent="0.45">
      <c r="A12" s="31" t="s">
        <v>22</v>
      </c>
      <c r="B12" t="s">
        <v>17</v>
      </c>
      <c r="C12" t="s">
        <v>18</v>
      </c>
      <c r="D12" s="6">
        <v>1000000</v>
      </c>
      <c r="E12">
        <v>5</v>
      </c>
      <c r="F12" s="1">
        <v>7.0000000000000007E-2</v>
      </c>
      <c r="G12" s="6">
        <f t="shared" si="1"/>
        <v>1402551.7307000002</v>
      </c>
      <c r="H12" s="6">
        <v>100000</v>
      </c>
      <c r="I12" s="13">
        <v>12000</v>
      </c>
      <c r="J12" s="1">
        <v>0.1</v>
      </c>
      <c r="K12" s="6">
        <f t="shared" si="2"/>
        <v>870874.27628515172</v>
      </c>
      <c r="L12" t="str">
        <f t="shared" si="3"/>
        <v>Moderate</v>
      </c>
      <c r="M12" s="8">
        <f t="shared" si="4"/>
        <v>1.3640685473850679E-2</v>
      </c>
      <c r="N12" s="2">
        <f>VLOOKUP(L12,Asset_Allocation!$A$6:$L$8,2,FALSE)</f>
        <v>0.5</v>
      </c>
      <c r="O12" s="2">
        <f>VLOOKUP(L12,Asset_Allocation!$A$6:$L$8,3,FALSE)</f>
        <v>0.3</v>
      </c>
      <c r="P12" s="2">
        <f>VLOOKUP(L12,Asset_Allocation!$A$6:$L$8,4,FALSE)</f>
        <v>0.1</v>
      </c>
      <c r="Q12" s="2">
        <f>VLOOKUP(L12,Asset_Allocation!$A$6:$L$8,5,FALSE)</f>
        <v>0.1</v>
      </c>
      <c r="R12" s="18">
        <f t="shared" si="0"/>
        <v>15877.757891562191</v>
      </c>
      <c r="S12" s="22">
        <f>E12-(Simulation!$A$6)+1</f>
        <v>5</v>
      </c>
      <c r="T12" s="21" t="str">
        <f t="shared" si="5"/>
        <v>Balanced</v>
      </c>
      <c r="U12" s="2">
        <f>INDEX(Asset_Allocation!$C$16:$C$20,MATCH(T12,Asset_Allocation!$B$16:$B$20,0))</f>
        <v>0.45</v>
      </c>
      <c r="V12" s="2">
        <f>INDEX(Asset_Allocation!$D$16:$D$20,MATCH(T12,Asset_Allocation!$B$16:$B$20,0))</f>
        <v>0.4</v>
      </c>
      <c r="W12" s="2">
        <f>INDEX(Asset_Allocation!$E$16:$E$20,MATCH(T12,Asset_Allocation!$B$16:$B$20,0))</f>
        <v>0.1</v>
      </c>
      <c r="X12" s="2">
        <f>INDEX(Asset_Allocation!$F$16:$F$20,MATCH(T12,Asset_Allocation!$B$16:$B$20,0))</f>
        <v>0.05</v>
      </c>
    </row>
    <row r="13" spans="1:24" x14ac:dyDescent="0.45">
      <c r="A13" s="31" t="s">
        <v>23</v>
      </c>
      <c r="B13" t="s">
        <v>14</v>
      </c>
      <c r="C13" t="s">
        <v>15</v>
      </c>
      <c r="D13" s="6">
        <v>500000</v>
      </c>
      <c r="E13">
        <v>10</v>
      </c>
      <c r="F13" s="1">
        <v>0.06</v>
      </c>
      <c r="G13" s="6">
        <f t="shared" si="1"/>
        <v>895423.84827142733</v>
      </c>
      <c r="H13" s="6">
        <v>50000</v>
      </c>
      <c r="I13" s="13">
        <v>5000</v>
      </c>
      <c r="J13" s="1">
        <v>0.09</v>
      </c>
      <c r="K13" s="6">
        <f t="shared" si="2"/>
        <v>378236.71026197652</v>
      </c>
      <c r="L13" t="str">
        <f t="shared" si="3"/>
        <v>Moderate</v>
      </c>
      <c r="M13" s="8">
        <f t="shared" si="4"/>
        <v>8.7085522855970144E-3</v>
      </c>
      <c r="N13" s="2">
        <f>VLOOKUP(L13,Asset_Allocation!$A$6:$L$8,2,FALSE)</f>
        <v>0.5</v>
      </c>
      <c r="O13" s="2">
        <f>VLOOKUP(L13,Asset_Allocation!$A$6:$L$8,3,FALSE)</f>
        <v>0.3</v>
      </c>
      <c r="P13" s="2">
        <f>VLOOKUP(L13,Asset_Allocation!$A$6:$L$8,4,FALSE)</f>
        <v>0.1</v>
      </c>
      <c r="Q13" s="2">
        <f>VLOOKUP(L13,Asset_Allocation!$A$6:$L$8,5,FALSE)</f>
        <v>0.1</v>
      </c>
      <c r="R13" s="18">
        <f t="shared" si="0"/>
        <v>10136.754860434925</v>
      </c>
      <c r="S13" s="22">
        <f>E13-(Simulation!$A$6)+1</f>
        <v>10</v>
      </c>
      <c r="T13" s="21" t="str">
        <f t="shared" si="5"/>
        <v>Moderate</v>
      </c>
      <c r="U13" s="2">
        <f>INDEX(Asset_Allocation!$C$16:$C$20,MATCH(T13,Asset_Allocation!$B$16:$B$20,0))</f>
        <v>0.6</v>
      </c>
      <c r="V13" s="2">
        <f>INDEX(Asset_Allocation!$D$16:$D$20,MATCH(T13,Asset_Allocation!$B$16:$B$20,0))</f>
        <v>0.25</v>
      </c>
      <c r="W13" s="2">
        <f>INDEX(Asset_Allocation!$E$16:$E$20,MATCH(T13,Asset_Allocation!$B$16:$B$20,0))</f>
        <v>0.1</v>
      </c>
      <c r="X13" s="2">
        <f>INDEX(Asset_Allocation!$F$16:$F$20,MATCH(T13,Asset_Allocation!$B$16:$B$20,0))</f>
        <v>0.05</v>
      </c>
    </row>
    <row r="14" spans="1:24" x14ac:dyDescent="0.45">
      <c r="D14" s="9">
        <f>SUM(D6:D13)</f>
        <v>30700000</v>
      </c>
      <c r="G14" s="9">
        <f>SUM(G6:G13)</f>
        <v>102821205.97155508</v>
      </c>
      <c r="H14" s="9">
        <f>SUM(H6:H13)</f>
        <v>1120000</v>
      </c>
      <c r="I14" s="16">
        <f>SUM(I6:I13)</f>
        <v>97000</v>
      </c>
    </row>
    <row r="17" spans="2:8" x14ac:dyDescent="0.45">
      <c r="B17" s="14" t="s">
        <v>1</v>
      </c>
      <c r="C17" s="14">
        <v>97000</v>
      </c>
    </row>
    <row r="18" spans="2:8" x14ac:dyDescent="0.45">
      <c r="B18" s="14" t="s">
        <v>134</v>
      </c>
      <c r="C18" s="14">
        <f>C17*12</f>
        <v>1164000</v>
      </c>
    </row>
    <row r="19" spans="2:8" x14ac:dyDescent="0.45">
      <c r="H19" s="7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4CB-8488-433F-9B1E-330DCEE0BA11}">
  <dimension ref="A3:L20"/>
  <sheetViews>
    <sheetView zoomScale="90" zoomScaleNormal="90" workbookViewId="0">
      <selection activeCell="A12" sqref="A12"/>
    </sheetView>
  </sheetViews>
  <sheetFormatPr defaultRowHeight="14.25" x14ac:dyDescent="0.45"/>
  <cols>
    <col min="1" max="1" width="11.19921875" customWidth="1"/>
    <col min="2" max="2" width="19.3984375" customWidth="1"/>
    <col min="3" max="3" width="12.796875" customWidth="1"/>
    <col min="4" max="5" width="16.796875" customWidth="1"/>
    <col min="6" max="6" width="13.73046875" customWidth="1"/>
    <col min="7" max="7" width="11.265625" bestFit="1" customWidth="1"/>
    <col min="8" max="8" width="12.265625" customWidth="1"/>
    <col min="9" max="9" width="13.265625" customWidth="1"/>
    <col min="10" max="10" width="13.33203125" customWidth="1"/>
    <col min="11" max="11" width="11.86328125" customWidth="1"/>
    <col min="12" max="12" width="14.265625" customWidth="1"/>
  </cols>
  <sheetData>
    <row r="3" spans="1:12" ht="29.25" x14ac:dyDescent="0.9">
      <c r="B3" s="4" t="s">
        <v>42</v>
      </c>
    </row>
    <row r="5" spans="1:12" x14ac:dyDescent="0.45">
      <c r="A5" t="s">
        <v>7</v>
      </c>
      <c r="B5" t="s">
        <v>31</v>
      </c>
      <c r="C5" t="s">
        <v>32</v>
      </c>
      <c r="D5" t="s">
        <v>41</v>
      </c>
      <c r="E5" t="s">
        <v>33</v>
      </c>
      <c r="F5" t="s">
        <v>34</v>
      </c>
      <c r="G5" t="s">
        <v>35</v>
      </c>
      <c r="H5" t="s">
        <v>36</v>
      </c>
      <c r="I5" t="s">
        <v>40</v>
      </c>
      <c r="J5" t="s">
        <v>37</v>
      </c>
      <c r="K5" t="s">
        <v>38</v>
      </c>
      <c r="L5" t="s">
        <v>39</v>
      </c>
    </row>
    <row r="6" spans="1:12" x14ac:dyDescent="0.45">
      <c r="A6" s="21" t="s">
        <v>27</v>
      </c>
      <c r="B6" s="1">
        <v>0.2</v>
      </c>
      <c r="C6" s="1">
        <v>0.6</v>
      </c>
      <c r="D6" s="1">
        <v>0.1</v>
      </c>
      <c r="E6" s="1">
        <v>0.1</v>
      </c>
      <c r="F6" s="1">
        <v>0.5</v>
      </c>
      <c r="G6" s="1">
        <v>0.3</v>
      </c>
      <c r="H6" s="1">
        <v>0.2</v>
      </c>
      <c r="I6" s="1">
        <v>0.7</v>
      </c>
      <c r="J6" s="1">
        <v>0.3</v>
      </c>
      <c r="K6" s="1">
        <v>0.8</v>
      </c>
      <c r="L6" s="1">
        <v>0.2</v>
      </c>
    </row>
    <row r="7" spans="1:12" x14ac:dyDescent="0.45">
      <c r="A7" s="21" t="s">
        <v>28</v>
      </c>
      <c r="B7" s="1">
        <v>0.5</v>
      </c>
      <c r="C7" s="1">
        <v>0.3</v>
      </c>
      <c r="D7" s="1">
        <v>0.1</v>
      </c>
      <c r="E7" s="1">
        <v>0.1</v>
      </c>
      <c r="F7" s="1">
        <v>0.4</v>
      </c>
      <c r="G7" s="1">
        <v>0.35</v>
      </c>
      <c r="H7" s="1">
        <v>0.25</v>
      </c>
      <c r="I7" s="1">
        <v>0.6</v>
      </c>
      <c r="J7" s="1">
        <v>0.4</v>
      </c>
      <c r="K7" s="1">
        <v>0.7</v>
      </c>
      <c r="L7" s="1">
        <v>0.3</v>
      </c>
    </row>
    <row r="8" spans="1:12" x14ac:dyDescent="0.45">
      <c r="A8" s="21" t="s">
        <v>29</v>
      </c>
      <c r="B8" s="1">
        <v>0.8</v>
      </c>
      <c r="C8" s="1">
        <v>0.1</v>
      </c>
      <c r="D8" s="1">
        <v>0.05</v>
      </c>
      <c r="E8" s="1">
        <v>0.05</v>
      </c>
      <c r="F8" s="1">
        <v>0.3</v>
      </c>
      <c r="G8" s="1">
        <v>0.4</v>
      </c>
      <c r="H8" s="1">
        <v>0.3</v>
      </c>
      <c r="I8" s="1">
        <v>0.5</v>
      </c>
      <c r="J8" s="1">
        <v>0.5</v>
      </c>
      <c r="K8" s="1">
        <v>0.6</v>
      </c>
      <c r="L8" s="1">
        <v>0.4</v>
      </c>
    </row>
    <row r="12" spans="1:12" ht="18" x14ac:dyDescent="0.55000000000000004">
      <c r="B12" s="24" t="s">
        <v>142</v>
      </c>
    </row>
    <row r="15" spans="1:12" x14ac:dyDescent="0.45">
      <c r="A15" t="s">
        <v>138</v>
      </c>
      <c r="B15" t="s">
        <v>139</v>
      </c>
      <c r="C15" t="s">
        <v>140</v>
      </c>
      <c r="D15" t="s">
        <v>141</v>
      </c>
      <c r="E15" t="s">
        <v>41</v>
      </c>
      <c r="F15" t="s">
        <v>33</v>
      </c>
    </row>
    <row r="16" spans="1:12" x14ac:dyDescent="0.45">
      <c r="A16" s="22" t="s">
        <v>143</v>
      </c>
      <c r="B16" s="21" t="s">
        <v>29</v>
      </c>
      <c r="C16" s="2">
        <v>0.8</v>
      </c>
      <c r="D16" s="2">
        <v>0.1</v>
      </c>
      <c r="E16" s="2">
        <v>0.05</v>
      </c>
      <c r="F16" s="2">
        <v>0.05</v>
      </c>
    </row>
    <row r="17" spans="1:6" x14ac:dyDescent="0.45">
      <c r="A17" s="23" t="s">
        <v>144</v>
      </c>
      <c r="B17" s="21" t="s">
        <v>148</v>
      </c>
      <c r="C17" s="2">
        <v>0.7</v>
      </c>
      <c r="D17" s="2">
        <v>0.2</v>
      </c>
      <c r="E17" s="2">
        <v>0.05</v>
      </c>
      <c r="F17" s="2">
        <v>0.05</v>
      </c>
    </row>
    <row r="18" spans="1:6" x14ac:dyDescent="0.45">
      <c r="A18" s="22" t="s">
        <v>145</v>
      </c>
      <c r="B18" s="21" t="s">
        <v>28</v>
      </c>
      <c r="C18" s="2">
        <v>0.6</v>
      </c>
      <c r="D18" s="2">
        <v>0.25</v>
      </c>
      <c r="E18" s="2">
        <v>0.1</v>
      </c>
      <c r="F18" s="2">
        <v>0.05</v>
      </c>
    </row>
    <row r="19" spans="1:6" x14ac:dyDescent="0.45">
      <c r="A19" s="22" t="s">
        <v>146</v>
      </c>
      <c r="B19" s="21" t="s">
        <v>149</v>
      </c>
      <c r="C19" s="2">
        <v>0.45</v>
      </c>
      <c r="D19" s="2">
        <v>0.4</v>
      </c>
      <c r="E19" s="2">
        <v>0.1</v>
      </c>
      <c r="F19" s="2">
        <v>0.05</v>
      </c>
    </row>
    <row r="20" spans="1:6" x14ac:dyDescent="0.45">
      <c r="A20" s="22" t="s">
        <v>147</v>
      </c>
      <c r="B20" s="21" t="s">
        <v>27</v>
      </c>
      <c r="C20" s="2">
        <v>0.25</v>
      </c>
      <c r="D20" s="2">
        <v>0.6</v>
      </c>
      <c r="E20" s="2">
        <v>0.1</v>
      </c>
      <c r="F20" s="2">
        <v>0.05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D3D0-10A8-484B-B87A-19E1CF2CA1D8}">
  <dimension ref="A3:W39"/>
  <sheetViews>
    <sheetView zoomScale="60" zoomScaleNormal="60" workbookViewId="0">
      <selection activeCell="F19" sqref="F19"/>
    </sheetView>
  </sheetViews>
  <sheetFormatPr defaultRowHeight="14.25" x14ac:dyDescent="0.45"/>
  <cols>
    <col min="1" max="1" width="31.6640625" bestFit="1" customWidth="1"/>
    <col min="2" max="2" width="15.73046875" bestFit="1" customWidth="1"/>
    <col min="3" max="3" width="14.73046875" bestFit="1" customWidth="1"/>
    <col min="4" max="4" width="9.33203125" customWidth="1"/>
    <col min="5" max="5" width="14.86328125" customWidth="1"/>
    <col min="6" max="6" width="17.33203125" customWidth="1"/>
    <col min="7" max="7" width="14" customWidth="1"/>
    <col min="8" max="8" width="12" bestFit="1" customWidth="1"/>
    <col min="9" max="9" width="10.53125" customWidth="1"/>
    <col min="10" max="10" width="14.6640625" customWidth="1"/>
    <col min="11" max="11" width="13.6640625" customWidth="1"/>
    <col min="12" max="12" width="23" customWidth="1"/>
    <col min="13" max="13" width="19.33203125" customWidth="1"/>
    <col min="14" max="14" width="11.19921875" customWidth="1"/>
    <col min="15" max="15" width="10.19921875" customWidth="1"/>
    <col min="16" max="16" width="19.19921875" customWidth="1"/>
    <col min="17" max="17" width="16.19921875" customWidth="1"/>
    <col min="18" max="18" width="11.46484375" customWidth="1"/>
    <col min="19" max="19" width="10.46484375" customWidth="1"/>
    <col min="20" max="20" width="19.46484375" customWidth="1"/>
    <col min="21" max="21" width="16.1328125" customWidth="1"/>
    <col min="22" max="22" width="28.33203125" customWidth="1"/>
    <col min="23" max="23" width="17.86328125" customWidth="1"/>
  </cols>
  <sheetData>
    <row r="3" spans="1:23" ht="29.25" x14ac:dyDescent="0.9">
      <c r="C3" s="4" t="s">
        <v>43</v>
      </c>
      <c r="D3" s="3"/>
    </row>
    <row r="4" spans="1:23" x14ac:dyDescent="0.45">
      <c r="Q4" t="s">
        <v>159</v>
      </c>
    </row>
    <row r="5" spans="1:23" x14ac:dyDescent="0.45">
      <c r="A5" t="s">
        <v>46</v>
      </c>
      <c r="B5" s="5" t="s">
        <v>44</v>
      </c>
      <c r="C5" t="s">
        <v>45</v>
      </c>
      <c r="D5" t="s">
        <v>31</v>
      </c>
      <c r="E5" t="s">
        <v>32</v>
      </c>
      <c r="F5" t="s">
        <v>41</v>
      </c>
      <c r="G5" t="s">
        <v>33</v>
      </c>
      <c r="H5" t="s">
        <v>103</v>
      </c>
      <c r="I5" t="s">
        <v>138</v>
      </c>
      <c r="J5" t="s">
        <v>154</v>
      </c>
      <c r="K5" t="s">
        <v>151</v>
      </c>
      <c r="L5" t="s">
        <v>152</v>
      </c>
      <c r="M5" t="s">
        <v>153</v>
      </c>
      <c r="N5" t="s">
        <v>155</v>
      </c>
      <c r="O5" t="s">
        <v>156</v>
      </c>
      <c r="P5" t="s">
        <v>157</v>
      </c>
      <c r="Q5" t="s">
        <v>158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</row>
    <row r="6" spans="1:23" x14ac:dyDescent="0.45">
      <c r="A6" s="31" t="str">
        <f>'Goals Input'!A6</f>
        <v>Emergency Fund</v>
      </c>
      <c r="B6" s="6">
        <f>'Goals Input'!G6</f>
        <v>530000</v>
      </c>
      <c r="C6" s="8">
        <f>B6/$B$14</f>
        <v>5.1545787174157595E-3</v>
      </c>
      <c r="D6" s="2">
        <f>VLOOKUP('Goals Input'!L6,Asset_Allocation!A6:L8,2,FALSE)</f>
        <v>0.2</v>
      </c>
      <c r="E6" s="2">
        <f>VLOOKUP('Goals Input'!L6,Asset_Allocation!A6:L8,3,FALSE)</f>
        <v>0.6</v>
      </c>
      <c r="F6" s="2">
        <f>VLOOKUP('Goals Input'!L6,Asset_Allocation!A6:L8,4,FALSE)</f>
        <v>0.1</v>
      </c>
      <c r="G6" s="2">
        <f>VLOOKUP('Goals Input'!L6,Asset_Allocation!A6:L8,5,FALSE)</f>
        <v>0.1</v>
      </c>
      <c r="H6" s="6">
        <f>$B$28*C6</f>
        <v>5999.9296270719442</v>
      </c>
      <c r="I6" s="22">
        <f>MAX(0,'Goals Input'!S6-Simulation!$A$6+1)</f>
        <v>1</v>
      </c>
      <c r="J6" s="2">
        <f>IF(I6&gt;15,80%,IF(I6&gt;10,70%,IF(I6&gt;7,60%,IF(I6&gt;3,45%,25%))))</f>
        <v>0.25</v>
      </c>
      <c r="K6" s="2">
        <f>IF(I6&gt;15,10%,IF(I6&gt;10,20%,IF(I6&gt;7,25%,IF(I6&gt;3,40%,60%))))</f>
        <v>0.6</v>
      </c>
      <c r="L6" s="2">
        <f>IF(I6&gt;15,5%,IF(I6&gt;10,5%,IF(I6&gt;7,10%,IF(I6&gt;3,10%,10%))))</f>
        <v>0.1</v>
      </c>
      <c r="M6" s="2">
        <f>IF(I6&gt;15,5%,IF(I6&gt;10,5%,IF(I6&gt;7,5%,IF(I6&gt;3,5%,5%))))</f>
        <v>0.05</v>
      </c>
      <c r="N6" s="1">
        <f>D6-J6</f>
        <v>-4.9999999999999989E-2</v>
      </c>
      <c r="O6" s="1">
        <f>E6-K6</f>
        <v>0</v>
      </c>
      <c r="P6" s="1">
        <f>F6-L6</f>
        <v>0</v>
      </c>
      <c r="Q6" s="1">
        <f>G6-M6</f>
        <v>0.05</v>
      </c>
      <c r="R6" t="str">
        <f t="shared" ref="R6:U13" si="0">IF(ABS(N6)&gt;5%,"Rebalance","Hold")</f>
        <v>Hold</v>
      </c>
      <c r="S6" t="str">
        <f t="shared" si="0"/>
        <v>Hold</v>
      </c>
      <c r="T6" t="str">
        <f t="shared" si="0"/>
        <v>Hold</v>
      </c>
      <c r="U6" t="str">
        <f t="shared" si="0"/>
        <v>Hold</v>
      </c>
      <c r="V6" t="str">
        <f t="shared" ref="V6:V13" si="1">IF(COUNTIF(R6:U6,"Rebalance")&gt;0,"Rebalance Portfolio","Hold")</f>
        <v>Hold</v>
      </c>
      <c r="W6" t="str">
        <f t="shared" ref="W6:W12" si="2">IF(COUNTIF(R8:U8,"Rebalance")=0,
"Within Threshold",
_xlfn.TEXTJOIN(", ",TRUE,
IF(R8="Rebalance","Equity",""),
IF(S8="Rebalance","Debt",""),
IF(T8="Rebalance","Gold",""),
IF(U8="Rebalance","Alternative","")
))</f>
        <v>Within Threshold</v>
      </c>
    </row>
    <row r="7" spans="1:23" x14ac:dyDescent="0.45">
      <c r="A7" s="31" t="str">
        <f>'Goals Input'!A7</f>
        <v>Vacation</v>
      </c>
      <c r="B7" s="6">
        <f>'Goals Input'!G7</f>
        <v>224720.00000000003</v>
      </c>
      <c r="C7" s="8">
        <f t="shared" ref="C7:C14" si="3">B7/$B$14</f>
        <v>2.1855413761842821E-3</v>
      </c>
      <c r="D7" s="2">
        <f>VLOOKUP('Goals Input'!L7,Asset_Allocation!A6:L8,2,FALSE)</f>
        <v>0.2</v>
      </c>
      <c r="E7" s="2">
        <f>VLOOKUP('Goals Input'!L7,Asset_Allocation!A6:L8,3,FALSE)</f>
        <v>0.6</v>
      </c>
      <c r="F7" s="2">
        <f>VLOOKUP('Goals Input'!L7,Asset_Allocation!A6:L8,4,FALSE)</f>
        <v>0.1</v>
      </c>
      <c r="G7" s="2">
        <f>VLOOKUP('Goals Input'!L7,Asset_Allocation!A6:L8,5,FALSE)</f>
        <v>0.1</v>
      </c>
      <c r="H7" s="6">
        <f t="shared" ref="H7:H13" si="4">$B$28*C7</f>
        <v>2543.9701618785043</v>
      </c>
      <c r="I7" s="22">
        <f>MAX(0,'Goals Input'!S7-Simulation!$A$6+1)</f>
        <v>2</v>
      </c>
      <c r="J7" s="2">
        <f t="shared" ref="J7:J13" si="5">IF(I7&gt;15,80%,IF(I7&gt;10,70%,IF(I7&gt;7,60%,IF(I7&gt;3,45%,25%))))</f>
        <v>0.25</v>
      </c>
      <c r="K7" s="2">
        <f t="shared" ref="K7:K13" si="6">IF(I7&gt;15,10%,IF(I7&gt;10,20%,IF(I7&gt;7,25%,IF(I7&gt;3,40%,60%))))</f>
        <v>0.6</v>
      </c>
      <c r="L7" s="2">
        <f t="shared" ref="L7:L13" si="7">IF(I7&gt;15,5%,IF(I7&gt;10,5%,IF(I7&gt;7,10%,IF(I7&gt;3,10%,10%))))</f>
        <v>0.1</v>
      </c>
      <c r="M7" s="2">
        <f t="shared" ref="M7:M13" si="8">IF(I7&gt;15,5%,IF(I7&gt;10,5%,IF(I7&gt;7,5%,IF(I7&gt;3,5%,5%))))</f>
        <v>0.05</v>
      </c>
      <c r="N7" s="1">
        <f>D7-J7</f>
        <v>-4.9999999999999989E-2</v>
      </c>
      <c r="O7" s="1">
        <f>E7-K7</f>
        <v>0</v>
      </c>
      <c r="P7" s="1">
        <f t="shared" ref="P7:P13" si="9">F7-L7</f>
        <v>0</v>
      </c>
      <c r="Q7" s="1">
        <f t="shared" ref="Q7:Q13" si="10">G7-M7</f>
        <v>0.05</v>
      </c>
      <c r="R7" t="str">
        <f t="shared" si="0"/>
        <v>Hold</v>
      </c>
      <c r="S7" t="str">
        <f t="shared" si="0"/>
        <v>Hold</v>
      </c>
      <c r="T7" t="str">
        <f t="shared" si="0"/>
        <v>Hold</v>
      </c>
      <c r="U7" t="str">
        <f t="shared" si="0"/>
        <v>Hold</v>
      </c>
      <c r="V7" t="str">
        <f t="shared" si="1"/>
        <v>Hold</v>
      </c>
      <c r="W7" t="str">
        <f t="shared" si="2"/>
        <v>Equity, Debt</v>
      </c>
    </row>
    <row r="8" spans="1:23" x14ac:dyDescent="0.45">
      <c r="A8" s="31" t="str">
        <f>'Goals Input'!A8</f>
        <v>Car Down Payment</v>
      </c>
      <c r="B8" s="6">
        <f>'Goals Input'!G8</f>
        <v>612521.5</v>
      </c>
      <c r="C8" s="8">
        <f t="shared" si="3"/>
        <v>5.957151486527504E-3</v>
      </c>
      <c r="D8" s="2">
        <f>VLOOKUP('Goals Input'!L8,Asset_Allocation!A6:L8,2,FALSE)</f>
        <v>0.2</v>
      </c>
      <c r="E8" s="2">
        <f>VLOOKUP('Goals Input'!L8,Asset_Allocation!A6:L80,3,FALSE)</f>
        <v>0.6</v>
      </c>
      <c r="F8" s="2">
        <f>VLOOKUP('Goals Input'!L8,Asset_Allocation!A6:L8,4,FALSE)</f>
        <v>0.1</v>
      </c>
      <c r="G8" s="2">
        <f>VLOOKUP('Goals Input'!L8,Asset_Allocation!A6:L8,5,FALSE)</f>
        <v>0.1</v>
      </c>
      <c r="H8" s="6">
        <f>$B$28*C8</f>
        <v>6934.1243303180145</v>
      </c>
      <c r="I8" s="22">
        <f>MAX(0,'Goals Input'!S8-Simulation!$A$6+1)</f>
        <v>3</v>
      </c>
      <c r="J8" s="2">
        <f t="shared" si="5"/>
        <v>0.25</v>
      </c>
      <c r="K8" s="2">
        <f t="shared" si="6"/>
        <v>0.6</v>
      </c>
      <c r="L8" s="2">
        <f t="shared" si="7"/>
        <v>0.1</v>
      </c>
      <c r="M8" s="2">
        <f t="shared" si="8"/>
        <v>0.05</v>
      </c>
      <c r="N8" s="1">
        <f t="shared" ref="N8:N13" si="11">D8-J8</f>
        <v>-4.9999999999999989E-2</v>
      </c>
      <c r="O8" s="1">
        <f t="shared" ref="O8:O13" si="12">E8-K8</f>
        <v>0</v>
      </c>
      <c r="P8" s="1">
        <f>F8-L8</f>
        <v>0</v>
      </c>
      <c r="Q8" s="1">
        <f t="shared" si="10"/>
        <v>0.05</v>
      </c>
      <c r="R8" t="str">
        <f t="shared" si="0"/>
        <v>Hold</v>
      </c>
      <c r="S8" t="str">
        <f t="shared" si="0"/>
        <v>Hold</v>
      </c>
      <c r="T8" t="str">
        <f t="shared" si="0"/>
        <v>Hold</v>
      </c>
      <c r="U8" t="str">
        <f t="shared" si="0"/>
        <v>Hold</v>
      </c>
      <c r="V8" t="str">
        <f t="shared" si="1"/>
        <v>Hold</v>
      </c>
      <c r="W8" t="str">
        <f t="shared" si="2"/>
        <v>Within Threshold</v>
      </c>
    </row>
    <row r="9" spans="1:23" x14ac:dyDescent="0.45">
      <c r="A9" s="31" t="str">
        <f>'Goals Input'!A9</f>
        <v>Education Fund</v>
      </c>
      <c r="B9" s="6">
        <f>'Goals Input'!G9</f>
        <v>15860845.570991358</v>
      </c>
      <c r="C9" s="8">
        <f t="shared" si="3"/>
        <v>0.15425656041594352</v>
      </c>
      <c r="D9" s="2">
        <f>VLOOKUP('Goals Input'!L9,Asset_Allocation!A6:L8,2,FALSE)</f>
        <v>0.8</v>
      </c>
      <c r="E9" s="2">
        <f>VLOOKUP('Goals Input'!L9,Asset_Allocation!A6:L8,3,FALSE)</f>
        <v>0.1</v>
      </c>
      <c r="F9" s="2">
        <f>VLOOKUP('Goals Input'!L9,Asset_Allocation!A6:L8,4,FALSE)</f>
        <v>0.05</v>
      </c>
      <c r="G9" s="2">
        <f>VLOOKUP('Goals Input'!L9,Asset_Allocation!A6:L8,5,FALSE)</f>
        <v>0.05</v>
      </c>
      <c r="H9" s="6">
        <f t="shared" si="4"/>
        <v>179554.63632415826</v>
      </c>
      <c r="I9" s="22">
        <f>MAX(0,'Goals Input'!S9-Simulation!$A$6+1)</f>
        <v>15</v>
      </c>
      <c r="J9" s="2">
        <f t="shared" si="5"/>
        <v>0.7</v>
      </c>
      <c r="K9" s="2">
        <f t="shared" si="6"/>
        <v>0.2</v>
      </c>
      <c r="L9" s="2">
        <f t="shared" si="7"/>
        <v>0.05</v>
      </c>
      <c r="M9" s="2">
        <f t="shared" si="8"/>
        <v>0.05</v>
      </c>
      <c r="N9" s="1">
        <f t="shared" si="11"/>
        <v>0.10000000000000009</v>
      </c>
      <c r="O9" s="1">
        <f>E9-K9</f>
        <v>-0.1</v>
      </c>
      <c r="P9" s="1">
        <f t="shared" si="9"/>
        <v>0</v>
      </c>
      <c r="Q9" s="1">
        <f>G9-M9</f>
        <v>0</v>
      </c>
      <c r="R9" t="str">
        <f t="shared" si="0"/>
        <v>Rebalance</v>
      </c>
      <c r="S9" t="str">
        <f t="shared" si="0"/>
        <v>Rebalance</v>
      </c>
      <c r="T9" t="str">
        <f t="shared" si="0"/>
        <v>Hold</v>
      </c>
      <c r="U9" t="str">
        <f t="shared" si="0"/>
        <v>Hold</v>
      </c>
      <c r="V9" t="str">
        <f t="shared" si="1"/>
        <v>Rebalance Portfolio</v>
      </c>
      <c r="W9" t="str">
        <f t="shared" si="2"/>
        <v>Equity</v>
      </c>
    </row>
    <row r="10" spans="1:23" x14ac:dyDescent="0.45">
      <c r="A10" s="31" t="str">
        <f>'Goals Input'!A10</f>
        <v>Retirement</v>
      </c>
      <c r="B10" s="6">
        <f>'Goals Input'!G10</f>
        <v>77393689.249723583</v>
      </c>
      <c r="C10" s="8">
        <f t="shared" si="3"/>
        <v>0.75270162918663019</v>
      </c>
      <c r="D10" s="2">
        <f>VLOOKUP('Goals Input'!L10,Asset_Allocation!A6:L8,2,FALSE)</f>
        <v>0.8</v>
      </c>
      <c r="E10" s="2">
        <f>VLOOKUP('Goals Input'!L10,Asset_Allocation!A6:L8,3,FALSE)</f>
        <v>0.1</v>
      </c>
      <c r="F10" s="2">
        <f>VLOOKUP('Goals Input'!L10,Asset_Allocation!A6:L8,4,FALSE)</f>
        <v>0.05</v>
      </c>
      <c r="G10" s="2">
        <f>VLOOKUP('Goals Input'!L10,Asset_Allocation!A6:L8,5,FALSE)</f>
        <v>0.05</v>
      </c>
      <c r="H10" s="6">
        <f t="shared" si="4"/>
        <v>876144.69637323753</v>
      </c>
      <c r="I10" s="22">
        <f>MAX(0,'Goals Input'!S10-Simulation!$A$6+1)</f>
        <v>20</v>
      </c>
      <c r="J10" s="2">
        <f t="shared" si="5"/>
        <v>0.8</v>
      </c>
      <c r="K10" s="2">
        <f t="shared" si="6"/>
        <v>0.1</v>
      </c>
      <c r="L10" s="2">
        <f t="shared" si="7"/>
        <v>0.05</v>
      </c>
      <c r="M10" s="2">
        <f t="shared" si="8"/>
        <v>0.05</v>
      </c>
      <c r="N10" s="1">
        <f t="shared" si="11"/>
        <v>0</v>
      </c>
      <c r="O10" s="1">
        <f t="shared" si="12"/>
        <v>0</v>
      </c>
      <c r="P10" s="1">
        <f t="shared" si="9"/>
        <v>0</v>
      </c>
      <c r="Q10" s="1">
        <f t="shared" si="10"/>
        <v>0</v>
      </c>
      <c r="R10" t="str">
        <f t="shared" si="0"/>
        <v>Hold</v>
      </c>
      <c r="S10" t="str">
        <f t="shared" si="0"/>
        <v>Hold</v>
      </c>
      <c r="T10" t="str">
        <f t="shared" si="0"/>
        <v>Hold</v>
      </c>
      <c r="U10" t="str">
        <f t="shared" si="0"/>
        <v>Hold</v>
      </c>
      <c r="V10" t="str">
        <f t="shared" si="1"/>
        <v>Hold</v>
      </c>
      <c r="W10" t="str">
        <f t="shared" si="2"/>
        <v>Debt</v>
      </c>
    </row>
    <row r="11" spans="1:23" x14ac:dyDescent="0.45">
      <c r="A11" s="31" t="str">
        <f>'Goals Input'!A11</f>
        <v>Marriage</v>
      </c>
      <c r="B11" s="6">
        <f>'Goals Input'!G11</f>
        <v>5901454.0718686972</v>
      </c>
      <c r="C11" s="8">
        <f t="shared" si="3"/>
        <v>5.7395301057850866E-2</v>
      </c>
      <c r="D11" s="2">
        <f>VLOOKUP('Goals Input'!L11,Asset_Allocation!A6:L8,2,FALSE)</f>
        <v>0.5</v>
      </c>
      <c r="E11" s="2">
        <f>VLOOKUP('Goals Input'!L11,Asset_Allocation!A6:L8,3,FALSE)</f>
        <v>0.3</v>
      </c>
      <c r="F11" s="2">
        <f>VLOOKUP('Goals Input'!L11,Asset_Allocation!A6:L8,4,FALSE)</f>
        <v>0.1</v>
      </c>
      <c r="G11" s="2">
        <f>VLOOKUP('Goals Input'!L11,Asset_Allocation!A6:L8,5,FALSE)</f>
        <v>0.1</v>
      </c>
      <c r="H11" s="6">
        <f t="shared" si="4"/>
        <v>66808.130431338403</v>
      </c>
      <c r="I11" s="22">
        <f>MAX(0,'Goals Input'!S11-Simulation!$A$6+1)</f>
        <v>10</v>
      </c>
      <c r="J11" s="2">
        <f t="shared" si="5"/>
        <v>0.6</v>
      </c>
      <c r="K11" s="2">
        <f t="shared" si="6"/>
        <v>0.25</v>
      </c>
      <c r="L11" s="2">
        <f t="shared" si="7"/>
        <v>0.1</v>
      </c>
      <c r="M11" s="2">
        <f t="shared" si="8"/>
        <v>0.05</v>
      </c>
      <c r="N11" s="1">
        <f t="shared" si="11"/>
        <v>-9.9999999999999978E-2</v>
      </c>
      <c r="O11" s="1">
        <f t="shared" si="12"/>
        <v>4.9999999999999989E-2</v>
      </c>
      <c r="P11" s="1">
        <f t="shared" si="9"/>
        <v>0</v>
      </c>
      <c r="Q11" s="1">
        <f t="shared" si="10"/>
        <v>0.05</v>
      </c>
      <c r="R11" t="str">
        <f t="shared" si="0"/>
        <v>Rebalance</v>
      </c>
      <c r="S11" t="str">
        <f t="shared" si="0"/>
        <v>Hold</v>
      </c>
      <c r="T11" t="str">
        <f t="shared" si="0"/>
        <v>Hold</v>
      </c>
      <c r="U11" t="str">
        <f t="shared" si="0"/>
        <v>Hold</v>
      </c>
      <c r="V11" t="str">
        <f t="shared" si="1"/>
        <v>Rebalance Portfolio</v>
      </c>
      <c r="W11" t="str">
        <f t="shared" si="2"/>
        <v>Equity</v>
      </c>
    </row>
    <row r="12" spans="1:23" x14ac:dyDescent="0.45">
      <c r="A12" s="31" t="str">
        <f>'Goals Input'!A12</f>
        <v>Home Upgrade</v>
      </c>
      <c r="B12" s="6">
        <f>'Goals Input'!G12</f>
        <v>1402551.7307000002</v>
      </c>
      <c r="C12" s="8">
        <f t="shared" si="3"/>
        <v>1.3640685473850679E-2</v>
      </c>
      <c r="D12" s="2">
        <f>VLOOKUP('Goals Input'!L12,Asset_Allocation!A6:L8,2,FALSE)</f>
        <v>0.5</v>
      </c>
      <c r="E12" s="2">
        <f>VLOOKUP('Goals Input'!L12,Asset_Allocation!A6:L8,3,FALSE)</f>
        <v>0.3</v>
      </c>
      <c r="F12" s="2">
        <f>VLOOKUP('Goals Input'!L12,Asset_Allocation!A6:L8,4,FALSE)</f>
        <v>0.1</v>
      </c>
      <c r="G12" s="2">
        <f>VLOOKUP('Goals Input'!L12,Asset_Allocation!A6:L8,5,FALSE)</f>
        <v>0.1</v>
      </c>
      <c r="H12" s="6">
        <f t="shared" si="4"/>
        <v>15877.757891562191</v>
      </c>
      <c r="I12" s="22">
        <f>MAX(0,'Goals Input'!S12-Simulation!$A$6+1)</f>
        <v>5</v>
      </c>
      <c r="J12" s="2">
        <f t="shared" si="5"/>
        <v>0.45</v>
      </c>
      <c r="K12" s="2">
        <f t="shared" si="6"/>
        <v>0.4</v>
      </c>
      <c r="L12" s="2">
        <f t="shared" si="7"/>
        <v>0.1</v>
      </c>
      <c r="M12" s="2">
        <f t="shared" si="8"/>
        <v>0.05</v>
      </c>
      <c r="N12" s="1">
        <f t="shared" si="11"/>
        <v>4.9999999999999989E-2</v>
      </c>
      <c r="O12" s="1">
        <f t="shared" si="12"/>
        <v>-0.10000000000000003</v>
      </c>
      <c r="P12" s="1">
        <f t="shared" si="9"/>
        <v>0</v>
      </c>
      <c r="Q12" s="1">
        <f t="shared" si="10"/>
        <v>0.05</v>
      </c>
      <c r="R12" t="str">
        <f t="shared" si="0"/>
        <v>Hold</v>
      </c>
      <c r="S12" t="str">
        <f t="shared" si="0"/>
        <v>Rebalance</v>
      </c>
      <c r="T12" t="str">
        <f t="shared" si="0"/>
        <v>Hold</v>
      </c>
      <c r="U12" t="str">
        <f t="shared" si="0"/>
        <v>Hold</v>
      </c>
      <c r="V12" t="str">
        <f t="shared" si="1"/>
        <v>Rebalance Portfolio</v>
      </c>
      <c r="W12" t="str">
        <f t="shared" si="2"/>
        <v>Within Threshold</v>
      </c>
    </row>
    <row r="13" spans="1:23" x14ac:dyDescent="0.45">
      <c r="A13" s="31" t="str">
        <f>'Goals Input'!A13</f>
        <v>Philanthropy</v>
      </c>
      <c r="B13" s="6">
        <f>'Goals Input'!G13</f>
        <v>895423.84827142733</v>
      </c>
      <c r="C13" s="8">
        <f t="shared" si="3"/>
        <v>8.7085522855970144E-3</v>
      </c>
      <c r="D13" s="2">
        <f>VLOOKUP('Goals Input'!L13,Asset_Allocation!A6:L8,2,FALSE)</f>
        <v>0.5</v>
      </c>
      <c r="E13" s="2">
        <f>VLOOKUP('Goals Input'!L13,Asset_Allocation!A6:L8,3,FALSE)</f>
        <v>0.3</v>
      </c>
      <c r="F13" s="2">
        <f>VLOOKUP('Goals Input'!L13,Asset_Allocation!A6:L8,4,FALSE)</f>
        <v>0.1</v>
      </c>
      <c r="G13" s="2">
        <f>VLOOKUP('Goals Input'!L13,Asset_Allocation!A6:L8,5,FALSE)</f>
        <v>0.1</v>
      </c>
      <c r="H13" s="6">
        <f t="shared" si="4"/>
        <v>10136.754860434925</v>
      </c>
      <c r="I13" s="22">
        <f>MAX(0,'Goals Input'!S13-Simulation!$A$6+1)</f>
        <v>10</v>
      </c>
      <c r="J13" s="2">
        <f t="shared" si="5"/>
        <v>0.6</v>
      </c>
      <c r="K13" s="2">
        <f t="shared" si="6"/>
        <v>0.25</v>
      </c>
      <c r="L13" s="2">
        <f t="shared" si="7"/>
        <v>0.1</v>
      </c>
      <c r="M13" s="2">
        <f t="shared" si="8"/>
        <v>0.05</v>
      </c>
      <c r="N13" s="1">
        <f t="shared" si="11"/>
        <v>-9.9999999999999978E-2</v>
      </c>
      <c r="O13" s="1">
        <f t="shared" si="12"/>
        <v>4.9999999999999989E-2</v>
      </c>
      <c r="P13" s="1">
        <f t="shared" si="9"/>
        <v>0</v>
      </c>
      <c r="Q13" s="1">
        <f t="shared" si="10"/>
        <v>0.05</v>
      </c>
      <c r="R13" t="str">
        <f t="shared" si="0"/>
        <v>Rebalance</v>
      </c>
      <c r="S13" t="str">
        <f t="shared" si="0"/>
        <v>Hold</v>
      </c>
      <c r="T13" t="str">
        <f t="shared" si="0"/>
        <v>Hold</v>
      </c>
      <c r="U13" t="str">
        <f t="shared" si="0"/>
        <v>Hold</v>
      </c>
      <c r="V13" t="str">
        <f t="shared" si="1"/>
        <v>Rebalance Portfolio</v>
      </c>
      <c r="W13" t="str">
        <f t="shared" ref="W13" si="13">IF(COUNTIF(R15:U15,"Rebalance")=0,
"Within Threshold",
_xlfn.TEXTJOIN(", ",TRUE,
IF(R15="Rebalance","Equity",""),
IF(S15="Rebalance","Debt",""),
IF(T15="Rebalance","Gold",""),
IF(U15="Rebalance","Alternative","")
))</f>
        <v>Within Threshold</v>
      </c>
    </row>
    <row r="14" spans="1:23" x14ac:dyDescent="0.45">
      <c r="A14" t="s">
        <v>47</v>
      </c>
      <c r="B14" s="9">
        <f>SUM(B6:B13)</f>
        <v>102821205.97155508</v>
      </c>
      <c r="C14" s="10">
        <f t="shared" si="3"/>
        <v>1</v>
      </c>
    </row>
    <row r="17" spans="1:5" ht="18" x14ac:dyDescent="0.55000000000000004">
      <c r="A17" s="24" t="s">
        <v>170</v>
      </c>
    </row>
    <row r="19" spans="1:5" x14ac:dyDescent="0.45">
      <c r="A19" t="s">
        <v>176</v>
      </c>
      <c r="B19" t="s">
        <v>166</v>
      </c>
      <c r="C19" t="s">
        <v>167</v>
      </c>
      <c r="D19" t="s">
        <v>168</v>
      </c>
      <c r="E19" t="s">
        <v>169</v>
      </c>
    </row>
    <row r="20" spans="1:5" x14ac:dyDescent="0.45">
      <c r="A20" t="s">
        <v>48</v>
      </c>
      <c r="B20" s="8">
        <f>SUMPRODUCT(C6:C13,D6:D13)</f>
        <v>0.76809827540673381</v>
      </c>
      <c r="C20" s="2">
        <f>SUMPRODUCT(C6:C13,J6:J13)</f>
        <v>0.75926583400479797</v>
      </c>
      <c r="D20" s="20">
        <f>B20-C20</f>
        <v>8.8324414019358422E-3</v>
      </c>
      <c r="E20" t="str">
        <f>IF(ABS(D20)&gt;5%,"Rebalance","Hold")</f>
        <v>Hold</v>
      </c>
    </row>
    <row r="21" spans="1:5" x14ac:dyDescent="0.45">
      <c r="A21" t="s">
        <v>49</v>
      </c>
      <c r="B21" s="8">
        <f>SUMPRODUCT(C6:C13,E6:E13)</f>
        <v>0.12259754355352348</v>
      </c>
      <c r="C21" s="2">
        <f>SUMPRODUCT(C6:C13,K6:K13)</f>
        <v>0.13608207547533049</v>
      </c>
      <c r="D21" s="20">
        <f t="shared" ref="D21:D23" si="14">B21-C21</f>
        <v>-1.3484531921807014E-2</v>
      </c>
      <c r="E21" t="str">
        <f t="shared" ref="E21:E23" si="15">IF(ABS(D21)&gt;5%,"Rebalance","Hold")</f>
        <v>Hold</v>
      </c>
    </row>
    <row r="22" spans="1:5" x14ac:dyDescent="0.45">
      <c r="A22" t="s">
        <v>50</v>
      </c>
      <c r="B22" s="8">
        <f>SUMPRODUCT(C6:C13,F6:F13)</f>
        <v>5.4652090519871306E-2</v>
      </c>
      <c r="C22" s="2">
        <f>SUMPRODUCT(C6:C13,L6:L13)</f>
        <v>5.4652090519871306E-2</v>
      </c>
      <c r="D22" s="20">
        <f>B22-C22</f>
        <v>0</v>
      </c>
      <c r="E22" t="str">
        <f t="shared" si="15"/>
        <v>Hold</v>
      </c>
    </row>
    <row r="23" spans="1:5" x14ac:dyDescent="0.45">
      <c r="A23" t="s">
        <v>51</v>
      </c>
      <c r="B23" s="8">
        <f>SUMPRODUCT(C6:C13,G6:G13)</f>
        <v>5.4652090519871306E-2</v>
      </c>
      <c r="C23" s="2">
        <f>SUMPRODUCT(C6:C13,M6:M13)</f>
        <v>4.9999999999999989E-2</v>
      </c>
      <c r="D23" s="20">
        <f t="shared" si="14"/>
        <v>4.6520905198713172E-3</v>
      </c>
      <c r="E23" t="str">
        <f t="shared" si="15"/>
        <v>Hold</v>
      </c>
    </row>
    <row r="24" spans="1:5" x14ac:dyDescent="0.45">
      <c r="B24" s="11">
        <f>SUM(B20:B23)</f>
        <v>0.99999999999999989</v>
      </c>
      <c r="C24" s="11">
        <f>SUM(C20:C23)</f>
        <v>0.99999999999999978</v>
      </c>
    </row>
    <row r="27" spans="1:5" x14ac:dyDescent="0.45">
      <c r="B27" s="14" t="s">
        <v>132</v>
      </c>
      <c r="C27" s="14"/>
    </row>
    <row r="28" spans="1:5" x14ac:dyDescent="0.45">
      <c r="B28" s="14">
        <v>1164000</v>
      </c>
      <c r="C28" s="14"/>
    </row>
    <row r="39" ht="101.25" customHeight="1" x14ac:dyDescent="0.45"/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AE01-FA00-4C21-8F4F-730A4A9B5339}">
  <dimension ref="A3:AG39"/>
  <sheetViews>
    <sheetView topLeftCell="A4" zoomScale="70" zoomScaleNormal="70" workbookViewId="0">
      <selection activeCell="I5" sqref="I5"/>
    </sheetView>
  </sheetViews>
  <sheetFormatPr defaultRowHeight="14.25" x14ac:dyDescent="0.45"/>
  <cols>
    <col min="1" max="1" width="20.46484375" bestFit="1" customWidth="1"/>
    <col min="2" max="2" width="25.3984375" bestFit="1" customWidth="1"/>
    <col min="3" max="3" width="13.3984375" customWidth="1"/>
    <col min="4" max="4" width="17.796875" customWidth="1"/>
    <col min="5" max="5" width="15.33203125" customWidth="1"/>
    <col min="6" max="6" width="14.59765625" bestFit="1" customWidth="1"/>
    <col min="7" max="7" width="17.19921875" bestFit="1" customWidth="1"/>
    <col min="8" max="8" width="14.59765625" customWidth="1"/>
    <col min="9" max="9" width="13.86328125" bestFit="1" customWidth="1"/>
    <col min="10" max="10" width="20.9296875" bestFit="1" customWidth="1"/>
    <col min="11" max="11" width="12.6640625" customWidth="1"/>
    <col min="12" max="12" width="20.73046875" customWidth="1"/>
    <col min="13" max="13" width="18.6640625" customWidth="1"/>
    <col min="14" max="14" width="14.3984375" customWidth="1"/>
    <col min="15" max="15" width="12.3984375" customWidth="1"/>
    <col min="16" max="16" width="17.53125" customWidth="1"/>
    <col min="17" max="17" width="15.796875" customWidth="1"/>
    <col min="18" max="18" width="21.59765625" customWidth="1"/>
    <col min="19" max="19" width="15.3984375" customWidth="1"/>
    <col min="20" max="20" width="11.1328125" customWidth="1"/>
    <col min="21" max="21" width="16.59765625" customWidth="1"/>
    <col min="22" max="22" width="17.1328125" customWidth="1"/>
    <col min="23" max="23" width="15.1328125" customWidth="1"/>
    <col min="24" max="24" width="13.265625" customWidth="1"/>
    <col min="25" max="25" width="18.59765625" customWidth="1"/>
    <col min="26" max="26" width="15.59765625" bestFit="1" customWidth="1"/>
    <col min="27" max="27" width="13.86328125" bestFit="1" customWidth="1"/>
    <col min="29" max="29" width="14.9296875" bestFit="1" customWidth="1"/>
    <col min="30" max="30" width="15.6640625" bestFit="1" customWidth="1"/>
    <col min="31" max="31" width="13.73046875" bestFit="1" customWidth="1"/>
    <col min="32" max="32" width="11.6640625" bestFit="1" customWidth="1"/>
    <col min="33" max="33" width="16.9296875" bestFit="1" customWidth="1"/>
  </cols>
  <sheetData>
    <row r="3" spans="1:17" ht="29.25" x14ac:dyDescent="0.9">
      <c r="B3" s="4" t="s">
        <v>52</v>
      </c>
      <c r="N3" s="24" t="s">
        <v>175</v>
      </c>
    </row>
    <row r="4" spans="1:17" ht="18" x14ac:dyDescent="0.55000000000000004">
      <c r="B4" s="24" t="s">
        <v>104</v>
      </c>
    </row>
    <row r="5" spans="1:17" x14ac:dyDescent="0.45">
      <c r="A5" t="s">
        <v>53</v>
      </c>
      <c r="B5" t="s">
        <v>54</v>
      </c>
      <c r="C5" t="s">
        <v>55</v>
      </c>
      <c r="D5" t="s">
        <v>56</v>
      </c>
      <c r="E5" t="s">
        <v>82</v>
      </c>
      <c r="F5" t="s">
        <v>83</v>
      </c>
      <c r="G5" t="s">
        <v>57</v>
      </c>
      <c r="H5" t="s">
        <v>84</v>
      </c>
      <c r="I5" t="s">
        <v>58</v>
      </c>
      <c r="J5" t="s">
        <v>59</v>
      </c>
      <c r="L5" s="27" t="s">
        <v>171</v>
      </c>
      <c r="M5" s="27" t="s">
        <v>174</v>
      </c>
      <c r="N5" s="27" t="s">
        <v>31</v>
      </c>
      <c r="O5" s="27" t="s">
        <v>32</v>
      </c>
      <c r="P5" s="27" t="s">
        <v>172</v>
      </c>
      <c r="Q5" s="27" t="s">
        <v>173</v>
      </c>
    </row>
    <row r="6" spans="1:17" x14ac:dyDescent="0.45">
      <c r="A6" s="22">
        <v>1</v>
      </c>
      <c r="B6" s="6">
        <f>SUM('Goals Input'!H6:H13)</f>
        <v>1120000</v>
      </c>
      <c r="C6" s="1">
        <v>0.08</v>
      </c>
      <c r="D6" s="1">
        <v>0.05</v>
      </c>
      <c r="E6" s="1">
        <v>-0.01</v>
      </c>
      <c r="F6" s="1">
        <v>0.08</v>
      </c>
      <c r="G6" s="2">
        <f t="shared" ref="G6:G15" si="0">SUMPRODUCT(N6:Q6,C6:F6)</f>
        <v>7.2500000000000009E-2</v>
      </c>
      <c r="H6" s="6">
        <f>Cash_Flow!D23</f>
        <v>1164000</v>
      </c>
      <c r="I6" s="6">
        <f t="shared" ref="I6:I15" si="1">(B6*(1+G6))+H6</f>
        <v>2365200</v>
      </c>
      <c r="J6" s="2">
        <f>I6 / Combined_Portfolio!B14</f>
        <v>2.3003036947984442E-2</v>
      </c>
      <c r="L6" s="30">
        <f t="shared" ref="L6:L15" si="2">A6</f>
        <v>1</v>
      </c>
      <c r="M6" s="28" cm="1">
        <f t="array" ref="M6">IFERROR(SUMPRODUCT(Combined_Portfolio!$C$6:$C$13,(('Goals Input'!$E$6:$E$13-L6+1)*(('Goals Input'!$E$6:$E$13-L6+1&gt;0))))/SUMPRODUCT(Combined_Portfolio!$C$6:$C$13,--(('Goals Input'!$E$6:$E$13-L6+1)&gt;0)),0)</f>
        <v>18.124520066704861</v>
      </c>
      <c r="N6" s="29">
        <f>IF(M6&gt;15,80%,IF(M6&gt;10,70%,IF(M6&gt;7,60%,IF(M6&gt;3,45%,25%))))</f>
        <v>0.8</v>
      </c>
      <c r="O6" s="29">
        <f>IF(M6&gt;15,10%,IF(M6&gt;10,20%,IF(M6&gt;7,25%,IF(M6&gt;3,40%,60%))))</f>
        <v>0.1</v>
      </c>
      <c r="P6" s="29">
        <f>IF(M6&gt;15,5%,IF(M6&gt;10,5%,IF(M6&gt;7,10%,IF(M6&gt;3,10%,10%))))</f>
        <v>0.05</v>
      </c>
      <c r="Q6" s="29">
        <f>5%</f>
        <v>0.05</v>
      </c>
    </row>
    <row r="7" spans="1:17" x14ac:dyDescent="0.45">
      <c r="A7" s="22">
        <v>2</v>
      </c>
      <c r="B7" s="6">
        <f t="shared" ref="B7:B15" si="3">I6</f>
        <v>2365200</v>
      </c>
      <c r="C7" s="1">
        <v>-0.02</v>
      </c>
      <c r="D7" s="1">
        <v>7.0000000000000007E-2</v>
      </c>
      <c r="E7" s="1">
        <v>7.0000000000000007E-2</v>
      </c>
      <c r="F7" s="1">
        <v>0.1</v>
      </c>
      <c r="G7" s="2">
        <f t="shared" si="0"/>
        <v>-4.9999999999999784E-4</v>
      </c>
      <c r="H7" s="6">
        <f>Cash_Flow!D24</f>
        <v>1222200</v>
      </c>
      <c r="I7" s="6">
        <f t="shared" si="1"/>
        <v>3586217.4</v>
      </c>
      <c r="J7" s="2">
        <f>I7/Combined_Portfolio!B14</f>
        <v>3.4878188464275615E-2</v>
      </c>
      <c r="L7" s="30">
        <f t="shared" si="2"/>
        <v>2</v>
      </c>
      <c r="M7" s="28" cm="1">
        <f t="array" ref="M7">IFERROR(SUMPRODUCT(Combined_Portfolio!$C$6:$C$13,(('Goals Input'!$E$6:$E$13-L7+1)*(('Goals Input'!$E$6:$E$13-L7+1&gt;0))))/SUMPRODUCT(Combined_Portfolio!$C$6:$C$13,--(('Goals Input'!$E$6:$E$13-L7+1)&gt;0)),0)</f>
        <v>17.213247103884161</v>
      </c>
      <c r="N7" s="29">
        <f t="shared" ref="N7:N15" si="4">IF(M7&gt;15,80%,IF(M7&gt;10,70%,IF(M7&gt;7,60%,IF(M7&gt;3,45%,25%))))</f>
        <v>0.8</v>
      </c>
      <c r="O7" s="29">
        <f t="shared" ref="O7:O15" si="5">IF(M7&gt;15,10%,IF(M7&gt;10,20%,IF(M7&gt;7,25%,IF(M7&gt;3,40%,60%))))</f>
        <v>0.1</v>
      </c>
      <c r="P7" s="29">
        <f t="shared" ref="P7:P15" si="6">IF(M7&gt;15,5%,IF(M7&gt;10,5%,IF(M7&gt;7,10%,IF(M7&gt;3,10%,10%))))</f>
        <v>0.05</v>
      </c>
      <c r="Q7" s="29">
        <f>5%</f>
        <v>0.05</v>
      </c>
    </row>
    <row r="8" spans="1:17" x14ac:dyDescent="0.45">
      <c r="A8" s="22">
        <v>3</v>
      </c>
      <c r="B8" s="6">
        <f t="shared" si="3"/>
        <v>3586217.4</v>
      </c>
      <c r="C8" s="1">
        <v>-0.1</v>
      </c>
      <c r="D8" s="1">
        <v>0.08</v>
      </c>
      <c r="E8" s="1">
        <v>0.12</v>
      </c>
      <c r="F8" s="1">
        <v>0.09</v>
      </c>
      <c r="G8" s="2">
        <f t="shared" si="0"/>
        <v>-6.1500000000000006E-2</v>
      </c>
      <c r="H8" s="6">
        <f>Cash_Flow!D25</f>
        <v>1283310</v>
      </c>
      <c r="I8" s="6">
        <f t="shared" si="1"/>
        <v>4648975.0298999995</v>
      </c>
      <c r="J8" s="2">
        <f>I8/Combined_Portfolio!B14</f>
        <v>4.5214165560226095E-2</v>
      </c>
      <c r="L8" s="30">
        <f t="shared" si="2"/>
        <v>3</v>
      </c>
      <c r="M8" s="28" cm="1">
        <f t="array" ref="M8">IFERROR(SUMPRODUCT(Combined_Portfolio!$C$6:$C$13,(('Goals Input'!$E$6:$E$13-L8+1)*(('Goals Input'!$E$6:$E$13-L8+1&gt;0))))/SUMPRODUCT(Combined_Portfolio!$C$6:$C$13,--(('Goals Input'!$E$6:$E$13-L8+1)&gt;0)),0)</f>
        <v>16.24894384463607</v>
      </c>
      <c r="N8" s="29">
        <f t="shared" si="4"/>
        <v>0.8</v>
      </c>
      <c r="O8" s="29">
        <f t="shared" si="5"/>
        <v>0.1</v>
      </c>
      <c r="P8" s="29">
        <f t="shared" si="6"/>
        <v>0.05</v>
      </c>
      <c r="Q8" s="29">
        <f>5%</f>
        <v>0.05</v>
      </c>
    </row>
    <row r="9" spans="1:17" x14ac:dyDescent="0.45">
      <c r="A9" s="22">
        <v>4</v>
      </c>
      <c r="B9" s="6">
        <f t="shared" si="3"/>
        <v>4648975.0298999995</v>
      </c>
      <c r="C9" s="1">
        <v>0.09</v>
      </c>
      <c r="D9" s="1">
        <v>7.0000000000000007E-2</v>
      </c>
      <c r="E9" s="1">
        <v>-0.04</v>
      </c>
      <c r="F9" s="1">
        <v>0.1</v>
      </c>
      <c r="G9" s="2">
        <f t="shared" si="0"/>
        <v>8.2000000000000003E-2</v>
      </c>
      <c r="H9" s="6">
        <f>Cash_Flow!D26</f>
        <v>1347475.5</v>
      </c>
      <c r="I9" s="6">
        <f t="shared" si="1"/>
        <v>6377666.4823517995</v>
      </c>
      <c r="J9" s="2">
        <f>I9/Combined_Portfolio!B14</f>
        <v>6.2026762106993233E-2</v>
      </c>
      <c r="L9" s="30">
        <f t="shared" si="2"/>
        <v>4</v>
      </c>
      <c r="M9" s="28" cm="1">
        <f t="array" ref="M9">IFERROR(SUMPRODUCT(Combined_Portfolio!$C$6:$C$13,(('Goals Input'!$E$6:$E$13-L9+1)*(('Goals Input'!$E$6:$E$13-L9+1&gt;0))))/SUMPRODUCT(Combined_Portfolio!$C$6:$C$13,--(('Goals Input'!$E$6:$E$13-L9+1)&gt;0)),0)</f>
        <v>15.341008319452634</v>
      </c>
      <c r="N9" s="29">
        <f t="shared" si="4"/>
        <v>0.8</v>
      </c>
      <c r="O9" s="29">
        <f t="shared" si="5"/>
        <v>0.1</v>
      </c>
      <c r="P9" s="29">
        <f t="shared" si="6"/>
        <v>0.05</v>
      </c>
      <c r="Q9" s="29">
        <f>5%</f>
        <v>0.05</v>
      </c>
    </row>
    <row r="10" spans="1:17" x14ac:dyDescent="0.45">
      <c r="A10" s="22">
        <v>5</v>
      </c>
      <c r="B10" s="6">
        <f t="shared" si="3"/>
        <v>6377666.4823517995</v>
      </c>
      <c r="C10" s="1">
        <v>0.05</v>
      </c>
      <c r="D10" s="1">
        <v>0.08</v>
      </c>
      <c r="E10" s="1">
        <v>0.05</v>
      </c>
      <c r="F10" s="1">
        <v>0.1</v>
      </c>
      <c r="G10" s="2">
        <f t="shared" si="0"/>
        <v>5.8499999999999996E-2</v>
      </c>
      <c r="H10" s="6">
        <f>Cash_Flow!D27</f>
        <v>1414849.2750000001</v>
      </c>
      <c r="I10" s="6">
        <f t="shared" si="1"/>
        <v>8165609.2465693802</v>
      </c>
      <c r="J10" s="2">
        <f>I10/Combined_Portfolio!B14</f>
        <v>7.9415614409622373E-2</v>
      </c>
      <c r="L10" s="30">
        <f t="shared" si="2"/>
        <v>5</v>
      </c>
      <c r="M10" s="28" cm="1">
        <f t="array" ref="M10">IFERROR(SUMPRODUCT(Combined_Portfolio!$C$6:$C$13,(('Goals Input'!$E$6:$E$13-L10+1)*(('Goals Input'!$E$6:$E$13-L10+1&gt;0))))/SUMPRODUCT(Combined_Portfolio!$C$6:$C$13,--(('Goals Input'!$E$6:$E$13-L10+1)&gt;0)),0)</f>
        <v>14.341008319452634</v>
      </c>
      <c r="N10" s="29">
        <f t="shared" si="4"/>
        <v>0.7</v>
      </c>
      <c r="O10" s="29">
        <f t="shared" si="5"/>
        <v>0.2</v>
      </c>
      <c r="P10" s="29">
        <f t="shared" si="6"/>
        <v>0.05</v>
      </c>
      <c r="Q10" s="29">
        <f>5%</f>
        <v>0.05</v>
      </c>
    </row>
    <row r="11" spans="1:17" x14ac:dyDescent="0.45">
      <c r="A11" s="22">
        <v>6</v>
      </c>
      <c r="B11" s="6">
        <f t="shared" si="3"/>
        <v>8165609.2465693802</v>
      </c>
      <c r="C11" s="1">
        <v>0.01</v>
      </c>
      <c r="D11" s="1">
        <v>0.08</v>
      </c>
      <c r="E11" s="1">
        <v>0.12</v>
      </c>
      <c r="F11" s="1">
        <v>0.11</v>
      </c>
      <c r="G11" s="2">
        <f t="shared" si="0"/>
        <v>3.4499999999999996E-2</v>
      </c>
      <c r="H11" s="6">
        <f>Cash_Flow!D28</f>
        <v>1485591.7387500003</v>
      </c>
      <c r="I11" s="6">
        <f t="shared" si="1"/>
        <v>9932914.5043260232</v>
      </c>
      <c r="J11" s="2">
        <f>I11/Combined_Portfolio!B14</f>
        <v>9.6603754162092881E-2</v>
      </c>
      <c r="L11" s="30">
        <f t="shared" si="2"/>
        <v>6</v>
      </c>
      <c r="M11" s="28" cm="1">
        <f t="array" ref="M11">IFERROR(SUMPRODUCT(Combined_Portfolio!$C$6:$C$13,(('Goals Input'!$E$6:$E$13-L11+1)*(('Goals Input'!$E$6:$E$13-L11+1&gt;0))))/SUMPRODUCT(Combined_Portfolio!$C$6:$C$13,--(('Goals Input'!$E$6:$E$13-L11+1)&gt;0)),0)</f>
        <v>13.528026711248822</v>
      </c>
      <c r="N11" s="29">
        <f t="shared" si="4"/>
        <v>0.7</v>
      </c>
      <c r="O11" s="29">
        <f t="shared" si="5"/>
        <v>0.2</v>
      </c>
      <c r="P11" s="29">
        <f t="shared" si="6"/>
        <v>0.05</v>
      </c>
      <c r="Q11" s="29">
        <f>5%</f>
        <v>0.05</v>
      </c>
    </row>
    <row r="12" spans="1:17" x14ac:dyDescent="0.45">
      <c r="A12" s="22">
        <v>7</v>
      </c>
      <c r="B12" s="6">
        <f t="shared" si="3"/>
        <v>9932914.5043260232</v>
      </c>
      <c r="C12" s="1">
        <v>0.17</v>
      </c>
      <c r="D12" s="1">
        <v>0.06</v>
      </c>
      <c r="E12" s="1">
        <v>0.11</v>
      </c>
      <c r="F12" s="1">
        <v>0.09</v>
      </c>
      <c r="G12" s="2">
        <f t="shared" si="0"/>
        <v>0.14100000000000001</v>
      </c>
      <c r="H12" s="6">
        <f>Cash_Flow!D29</f>
        <v>1559871.3256875004</v>
      </c>
      <c r="I12" s="6">
        <f t="shared" si="1"/>
        <v>12893326.775123492</v>
      </c>
      <c r="J12" s="2">
        <f>I12/Combined_Portfolio!B14</f>
        <v>0.12539559960705343</v>
      </c>
      <c r="L12" s="30">
        <f t="shared" si="2"/>
        <v>7</v>
      </c>
      <c r="M12" s="28" cm="1">
        <f t="array" ref="M12">IFERROR(SUMPRODUCT(Combined_Portfolio!$C$6:$C$13,(('Goals Input'!$E$6:$E$13-L12+1)*(('Goals Input'!$E$6:$E$13-L12+1&gt;0))))/SUMPRODUCT(Combined_Portfolio!$C$6:$C$13,--(('Goals Input'!$E$6:$E$13-L12+1)&gt;0)),0)</f>
        <v>12.528026711248824</v>
      </c>
      <c r="N12" s="29">
        <f t="shared" si="4"/>
        <v>0.7</v>
      </c>
      <c r="O12" s="29">
        <f t="shared" si="5"/>
        <v>0.2</v>
      </c>
      <c r="P12" s="29">
        <f t="shared" si="6"/>
        <v>0.05</v>
      </c>
      <c r="Q12" s="29">
        <f>5%</f>
        <v>0.05</v>
      </c>
    </row>
    <row r="13" spans="1:17" x14ac:dyDescent="0.45">
      <c r="A13" s="22">
        <v>8</v>
      </c>
      <c r="B13" s="6">
        <f t="shared" si="3"/>
        <v>12893326.775123492</v>
      </c>
      <c r="C13" s="1">
        <v>7.0000000000000007E-2</v>
      </c>
      <c r="D13" s="1">
        <v>0.08</v>
      </c>
      <c r="E13" s="1">
        <v>0.08</v>
      </c>
      <c r="F13" s="1">
        <v>0.05</v>
      </c>
      <c r="G13" s="2">
        <f t="shared" si="0"/>
        <v>7.1500000000000008E-2</v>
      </c>
      <c r="H13" s="6">
        <f>Cash_Flow!D30</f>
        <v>1637864.8919718754</v>
      </c>
      <c r="I13" s="6">
        <f t="shared" si="1"/>
        <v>15453064.531516695</v>
      </c>
      <c r="J13" s="2">
        <f>I13/Combined_Portfolio!B14</f>
        <v>0.15029063689246847</v>
      </c>
      <c r="L13" s="30">
        <f t="shared" si="2"/>
        <v>8</v>
      </c>
      <c r="M13" s="28" cm="1">
        <f t="array" ref="M13">IFERROR(SUMPRODUCT(Combined_Portfolio!$C$6:$C$13,(('Goals Input'!$E$6:$E$13-L13+1)*(('Goals Input'!$E$6:$E$13-L13+1&gt;0))))/SUMPRODUCT(Combined_Portfolio!$C$6:$C$13,--(('Goals Input'!$E$6:$E$13-L13+1)&gt;0)),0)</f>
        <v>11.528026711248824</v>
      </c>
      <c r="N13" s="29">
        <f t="shared" si="4"/>
        <v>0.7</v>
      </c>
      <c r="O13" s="29">
        <f t="shared" si="5"/>
        <v>0.2</v>
      </c>
      <c r="P13" s="29">
        <f t="shared" si="6"/>
        <v>0.05</v>
      </c>
      <c r="Q13" s="29">
        <f>5%</f>
        <v>0.05</v>
      </c>
    </row>
    <row r="14" spans="1:17" x14ac:dyDescent="0.45">
      <c r="A14" s="22">
        <v>9</v>
      </c>
      <c r="B14" s="6">
        <f t="shared" si="3"/>
        <v>15453064.531516695</v>
      </c>
      <c r="C14" s="1">
        <v>0.01</v>
      </c>
      <c r="D14" s="1">
        <v>0.05</v>
      </c>
      <c r="E14" s="1">
        <v>-0.05</v>
      </c>
      <c r="F14" s="1">
        <v>0.04</v>
      </c>
      <c r="G14" s="2">
        <f t="shared" si="0"/>
        <v>1.6500000000000001E-2</v>
      </c>
      <c r="H14" s="6">
        <f>Cash_Flow!D31</f>
        <v>1719758.1365704692</v>
      </c>
      <c r="I14" s="6">
        <f t="shared" si="1"/>
        <v>17427798.23285719</v>
      </c>
      <c r="J14" s="2">
        <f>I14/Combined_Portfolio!B14</f>
        <v>0.16949614691038048</v>
      </c>
      <c r="L14" s="30">
        <f t="shared" si="2"/>
        <v>9</v>
      </c>
      <c r="M14" s="28" cm="1">
        <f t="array" ref="M14">IFERROR(SUMPRODUCT(Combined_Portfolio!$C$6:$C$13,(('Goals Input'!$E$6:$E$13-L14+1)*(('Goals Input'!$E$6:$E$13-L14+1&gt;0))))/SUMPRODUCT(Combined_Portfolio!$C$6:$C$13,--(('Goals Input'!$E$6:$E$13-L14+1)&gt;0)),0)</f>
        <v>10.528026711248824</v>
      </c>
      <c r="N14" s="29">
        <f t="shared" si="4"/>
        <v>0.7</v>
      </c>
      <c r="O14" s="29">
        <f t="shared" si="5"/>
        <v>0.2</v>
      </c>
      <c r="P14" s="29">
        <f t="shared" si="6"/>
        <v>0.05</v>
      </c>
      <c r="Q14" s="29">
        <f>5%</f>
        <v>0.05</v>
      </c>
    </row>
    <row r="15" spans="1:17" x14ac:dyDescent="0.45">
      <c r="A15" s="22">
        <v>10</v>
      </c>
      <c r="B15" s="6">
        <f t="shared" si="3"/>
        <v>17427798.23285719</v>
      </c>
      <c r="C15" s="1">
        <v>0.09</v>
      </c>
      <c r="D15" s="1">
        <v>0.05</v>
      </c>
      <c r="E15" s="1">
        <v>-0.03</v>
      </c>
      <c r="F15" s="1">
        <v>0.08</v>
      </c>
      <c r="G15" s="2">
        <f t="shared" si="0"/>
        <v>6.7500000000000004E-2</v>
      </c>
      <c r="H15" s="6">
        <f>Cash_Flow!D32</f>
        <v>1805746.0433989929</v>
      </c>
      <c r="I15" s="6">
        <f t="shared" si="1"/>
        <v>20409920.65697404</v>
      </c>
      <c r="J15" s="2">
        <f>I15/Combined_Portfolio!B14</f>
        <v>0.1984991370614767</v>
      </c>
      <c r="L15" s="30">
        <f t="shared" si="2"/>
        <v>10</v>
      </c>
      <c r="M15" s="28" cm="1">
        <f t="array" ref="M15">IFERROR(SUMPRODUCT(Combined_Portfolio!$C$6:$C$13,(('Goals Input'!$E$6:$E$13-L15+1)*(('Goals Input'!$E$6:$E$13-L15+1&gt;0))))/SUMPRODUCT(Combined_Portfolio!$C$6:$C$13,--(('Goals Input'!$E$6:$E$13-L15+1)&gt;0)),0)</f>
        <v>9.5280267112488204</v>
      </c>
      <c r="N15" s="29">
        <f t="shared" si="4"/>
        <v>0.6</v>
      </c>
      <c r="O15" s="29">
        <f t="shared" si="5"/>
        <v>0.25</v>
      </c>
      <c r="P15" s="29">
        <f t="shared" si="6"/>
        <v>0.1</v>
      </c>
      <c r="Q15" s="29">
        <f>5%</f>
        <v>0.05</v>
      </c>
    </row>
    <row r="17" spans="1:33" ht="18" x14ac:dyDescent="0.55000000000000004">
      <c r="B17" s="24" t="s">
        <v>105</v>
      </c>
    </row>
    <row r="19" spans="1:33" x14ac:dyDescent="0.45">
      <c r="A19" t="s">
        <v>106</v>
      </c>
      <c r="B19" t="s">
        <v>10</v>
      </c>
      <c r="C19" t="s">
        <v>13</v>
      </c>
      <c r="D19" t="s">
        <v>16</v>
      </c>
      <c r="E19" t="s">
        <v>19</v>
      </c>
      <c r="F19" t="s">
        <v>20</v>
      </c>
      <c r="G19" t="s">
        <v>21</v>
      </c>
      <c r="H19" t="s">
        <v>22</v>
      </c>
      <c r="I19" t="s">
        <v>107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117</v>
      </c>
      <c r="T19" t="s">
        <v>118</v>
      </c>
      <c r="U19" t="s">
        <v>119</v>
      </c>
      <c r="V19" t="s">
        <v>120</v>
      </c>
      <c r="W19" t="s">
        <v>121</v>
      </c>
      <c r="X19" t="s">
        <v>122</v>
      </c>
      <c r="Y19" t="s">
        <v>123</v>
      </c>
      <c r="Z19" t="s">
        <v>124</v>
      </c>
      <c r="AA19" t="s">
        <v>125</v>
      </c>
      <c r="AB19" t="s">
        <v>126</v>
      </c>
      <c r="AC19" t="s">
        <v>127</v>
      </c>
      <c r="AD19" t="s">
        <v>128</v>
      </c>
      <c r="AE19" t="s">
        <v>129</v>
      </c>
      <c r="AF19" t="s">
        <v>130</v>
      </c>
      <c r="AG19" t="s">
        <v>131</v>
      </c>
    </row>
    <row r="20" spans="1:33" x14ac:dyDescent="0.45">
      <c r="A20" s="22">
        <v>1</v>
      </c>
      <c r="B20" s="6">
        <f>Table4[[#This Row],[Emergency Fund SIP]]</f>
        <v>5999.9296270719442</v>
      </c>
      <c r="C20" s="6">
        <f>K20</f>
        <v>2543.9701618785043</v>
      </c>
      <c r="D20" s="6">
        <f t="shared" ref="D20:I20" si="7">L20</f>
        <v>6934.1243303180145</v>
      </c>
      <c r="E20" s="6">
        <f t="shared" si="7"/>
        <v>179554.63632415826</v>
      </c>
      <c r="F20" s="6">
        <f t="shared" si="7"/>
        <v>876144.69637323753</v>
      </c>
      <c r="G20" s="6">
        <f t="shared" si="7"/>
        <v>66808.130431338403</v>
      </c>
      <c r="H20" s="6">
        <f t="shared" si="7"/>
        <v>15877.757891562191</v>
      </c>
      <c r="I20" s="6">
        <f t="shared" si="7"/>
        <v>10136.754860434925</v>
      </c>
      <c r="J20" s="6">
        <f>$H$6* Combined_Portfolio!$C$6</f>
        <v>5999.9296270719442</v>
      </c>
      <c r="K20" s="6">
        <f>$H$6* Combined_Portfolio!$C$7</f>
        <v>2543.9701618785043</v>
      </c>
      <c r="L20" s="6">
        <f>$H$6* Combined_Portfolio!$C$8</f>
        <v>6934.1243303180145</v>
      </c>
      <c r="M20" s="6">
        <f>$H$6* Combined_Portfolio!$C$9</f>
        <v>179554.63632415826</v>
      </c>
      <c r="N20" s="6">
        <f>$H$6* Combined_Portfolio!$C$10</f>
        <v>876144.69637323753</v>
      </c>
      <c r="O20" s="6">
        <f>$H$6* Combined_Portfolio!$C$11</f>
        <v>66808.130431338403</v>
      </c>
      <c r="P20" s="6">
        <f>$H$6* Combined_Portfolio!$C$12</f>
        <v>15877.757891562191</v>
      </c>
      <c r="Q20" s="6">
        <f>$H$6* Combined_Portfolio!$C$13</f>
        <v>10136.754860434925</v>
      </c>
      <c r="R20" s="1">
        <v>0</v>
      </c>
      <c r="S20" s="1">
        <v>-0.03</v>
      </c>
      <c r="T20" s="1">
        <v>0.01</v>
      </c>
      <c r="U20" s="1">
        <v>0.03</v>
      </c>
      <c r="V20" s="1">
        <v>0.1</v>
      </c>
      <c r="W20" s="1">
        <v>0.1</v>
      </c>
      <c r="X20" s="1">
        <v>-0.03</v>
      </c>
      <c r="Y20" s="1">
        <v>0.06</v>
      </c>
      <c r="Z20" s="2">
        <f>B20 / Combined_Portfolio!$B$6</f>
        <v>1.1320621937871592E-2</v>
      </c>
      <c r="AA20" s="2">
        <f>C20 /Combined_Portfolio!$B$7</f>
        <v>1.1320621937871591E-2</v>
      </c>
      <c r="AB20" s="2">
        <f>D20 / Combined_Portfolio!$B$8</f>
        <v>1.1320621937871592E-2</v>
      </c>
      <c r="AC20" s="2">
        <f>E20/Combined_Portfolio!$B$9</f>
        <v>1.1320621937871592E-2</v>
      </c>
      <c r="AD20" s="2">
        <f>F20/Combined_Portfolio!$B$10</f>
        <v>1.1320621937871591E-2</v>
      </c>
      <c r="AE20" s="2">
        <f>G20/Combined_Portfolio!$B$11</f>
        <v>1.1320621937871591E-2</v>
      </c>
      <c r="AF20" s="2">
        <f>H20/Combined_Portfolio!$B$12</f>
        <v>1.1320621937871592E-2</v>
      </c>
      <c r="AG20" s="2">
        <f>I20/Combined_Portfolio!$B$13</f>
        <v>1.1320621937871592E-2</v>
      </c>
    </row>
    <row r="21" spans="1:33" x14ac:dyDescent="0.45">
      <c r="A21" s="22">
        <v>2</v>
      </c>
      <c r="B21" s="6">
        <f>B20*(1+R21)+J21</f>
        <v>12599.852216851083</v>
      </c>
      <c r="C21" s="6">
        <f>C20*(1+S21)+K21</f>
        <v>5240.5785334697193</v>
      </c>
      <c r="D21" s="6">
        <f>(D20*(1+T21))+L21</f>
        <v>14561.661093667832</v>
      </c>
      <c r="E21" s="6">
        <f t="shared" ref="E21:I21" si="8">(E20*(1+U21))+M21</f>
        <v>386042.46809694031</v>
      </c>
      <c r="F21" s="6">
        <f t="shared" si="8"/>
        <v>1743527.9457827427</v>
      </c>
      <c r="G21" s="6">
        <f t="shared" si="8"/>
        <v>142969.39912306418</v>
      </c>
      <c r="H21" s="6">
        <f t="shared" si="8"/>
        <v>33978.401887943088</v>
      </c>
      <c r="I21" s="6">
        <f t="shared" si="8"/>
        <v>21084.450109704645</v>
      </c>
      <c r="J21" s="6">
        <f>J20*1.05</f>
        <v>6299.9261084255413</v>
      </c>
      <c r="K21" s="6">
        <f t="shared" ref="K21:Q21" si="9">K20*1.05</f>
        <v>2671.1686699724296</v>
      </c>
      <c r="L21" s="6">
        <f t="shared" si="9"/>
        <v>7280.8305468339158</v>
      </c>
      <c r="M21" s="6">
        <f t="shared" si="9"/>
        <v>188532.36814036619</v>
      </c>
      <c r="N21" s="6">
        <f t="shared" si="9"/>
        <v>919951.93119189946</v>
      </c>
      <c r="O21" s="6">
        <f t="shared" si="9"/>
        <v>70148.536952905328</v>
      </c>
      <c r="P21" s="6">
        <f t="shared" si="9"/>
        <v>16671.6457861403</v>
      </c>
      <c r="Q21" s="6">
        <f t="shared" si="9"/>
        <v>10643.592603456671</v>
      </c>
      <c r="R21" s="1">
        <v>0.05</v>
      </c>
      <c r="S21" s="1">
        <v>0.01</v>
      </c>
      <c r="T21" s="1">
        <v>0.05</v>
      </c>
      <c r="U21" s="1">
        <v>0.1</v>
      </c>
      <c r="V21" s="1">
        <v>-0.06</v>
      </c>
      <c r="W21" s="1">
        <v>0.09</v>
      </c>
      <c r="X21" s="1">
        <v>0.09</v>
      </c>
      <c r="Y21" s="1">
        <v>0.03</v>
      </c>
      <c r="Z21" s="2">
        <f>B21 / Combined_Portfolio!$B$6</f>
        <v>2.3773306069530344E-2</v>
      </c>
      <c r="AA21" s="2">
        <f>C21 /Combined_Portfolio!$B$7</f>
        <v>2.332048119201548E-2</v>
      </c>
      <c r="AB21" s="2">
        <f>D21 / Combined_Portfolio!$B$8</f>
        <v>2.3773306069530344E-2</v>
      </c>
      <c r="AC21" s="2">
        <f>E21/Combined_Portfolio!$B$9</f>
        <v>2.4339337166423929E-2</v>
      </c>
      <c r="AD21" s="2">
        <f>F21/Combined_Portfolio!$B$10</f>
        <v>2.2528037656364467E-2</v>
      </c>
      <c r="AE21" s="2">
        <f>G21/Combined_Portfolio!$B$11</f>
        <v>2.4226130947045205E-2</v>
      </c>
      <c r="AF21" s="2">
        <f>H21/Combined_Portfolio!$B$12</f>
        <v>2.4226130947045205E-2</v>
      </c>
      <c r="AG21" s="2">
        <f>I21/Combined_Portfolio!$B$13</f>
        <v>2.3546893630772916E-2</v>
      </c>
    </row>
    <row r="22" spans="1:33" x14ac:dyDescent="0.45">
      <c r="A22" s="22">
        <v>3</v>
      </c>
      <c r="B22" s="6">
        <f t="shared" ref="B22:B34" si="10">B21*(1+R22)+J22</f>
        <v>19844.767241540456</v>
      </c>
      <c r="C22" s="6">
        <f t="shared" ref="C22:C33" si="11">(C21*(1+S22))+K22</f>
        <v>7992.8998516060728</v>
      </c>
      <c r="D22" s="6">
        <f>(D21*(1+T22))+L22</f>
        <v>21769.683335033409</v>
      </c>
      <c r="E22" s="6">
        <f t="shared" ref="E22:E34" si="12">(E21*(1+U22))+M22</f>
        <v>603303.57804917183</v>
      </c>
      <c r="F22" s="6">
        <f t="shared" ref="F22:F34" si="13">(F21*(1+V22))+N22</f>
        <v>2761783.3119077194</v>
      </c>
      <c r="G22" s="6">
        <f t="shared" ref="G22:G34" si="14">(G21*(1+W22))+O22</f>
        <v>213765.97494115349</v>
      </c>
      <c r="H22" s="6">
        <f t="shared" ref="H22:H33" si="15">(H21*(1+X22))+P22</f>
        <v>51483.629963390398</v>
      </c>
      <c r="I22" s="6">
        <f t="shared" ref="I22:I34" si="16">(I21*(1+Y22))+Q22</f>
        <v>32892.755846625289</v>
      </c>
      <c r="J22" s="6">
        <f t="shared" ref="J22:J27" si="17">J21*1.05</f>
        <v>6614.9224138468189</v>
      </c>
      <c r="K22" s="6">
        <f t="shared" ref="K22:K34" si="18">K21*1.05</f>
        <v>2804.7271034710511</v>
      </c>
      <c r="L22" s="6">
        <f t="shared" ref="L22:L34" si="19">L21*1.05</f>
        <v>7644.8720741756124</v>
      </c>
      <c r="M22" s="6">
        <f t="shared" ref="M22:M34" si="20">M21*1.05</f>
        <v>197958.9865473845</v>
      </c>
      <c r="N22" s="6">
        <f t="shared" ref="N22:N34" si="21">N21*1.05</f>
        <v>965949.52775149443</v>
      </c>
      <c r="O22" s="6">
        <f t="shared" ref="O22:O34" si="22">O21*1.05</f>
        <v>73655.963800550599</v>
      </c>
      <c r="P22" s="6">
        <f t="shared" ref="P22:P34" si="23">P21*1.05</f>
        <v>17505.228075447314</v>
      </c>
      <c r="Q22" s="6">
        <f t="shared" ref="Q22:Q34" si="24">Q21*1.05</f>
        <v>11175.772233629505</v>
      </c>
      <c r="R22" s="1">
        <v>0.05</v>
      </c>
      <c r="S22" s="1">
        <v>-0.01</v>
      </c>
      <c r="T22" s="1">
        <v>-0.03</v>
      </c>
      <c r="U22" s="1">
        <v>0.05</v>
      </c>
      <c r="V22" s="1">
        <v>0.03</v>
      </c>
      <c r="W22" s="1">
        <v>-0.02</v>
      </c>
      <c r="X22" s="1">
        <v>0</v>
      </c>
      <c r="Y22" s="1">
        <v>0.03</v>
      </c>
      <c r="Z22" s="2">
        <f>B22 / Combined_Portfolio!$B$6</f>
        <v>3.7442957059510291E-2</v>
      </c>
      <c r="AA22" s="2">
        <f>C22 /Combined_Portfolio!$B$7</f>
        <v>3.5568262066598751E-2</v>
      </c>
      <c r="AB22" s="2">
        <f>D22 / Combined_Portfolio!$B$8</f>
        <v>3.5541092573947865E-2</v>
      </c>
      <c r="AC22" s="2">
        <f>E22/Combined_Portfolio!$B$9</f>
        <v>3.8037289711248555E-2</v>
      </c>
      <c r="AD22" s="2">
        <f>F22/Combined_Portfolio!$B$10</f>
        <v>3.5684864472558829E-2</v>
      </c>
      <c r="AE22" s="2">
        <f>G22/Combined_Portfolio!$B$11</f>
        <v>3.6222594014607729E-2</v>
      </c>
      <c r="AF22" s="2">
        <f>H22/Combined_Portfolio!$B$12</f>
        <v>3.6707116633548635E-2</v>
      </c>
      <c r="AG22" s="2">
        <f>I22/Combined_Portfolio!$B$13</f>
        <v>3.6734286126199535E-2</v>
      </c>
    </row>
    <row r="23" spans="1:33" x14ac:dyDescent="0.45">
      <c r="A23" s="22">
        <v>4</v>
      </c>
      <c r="B23" s="6">
        <f t="shared" si="10"/>
        <v>27187.331120910425</v>
      </c>
      <c r="C23" s="6">
        <f>(C22*(1+S23))+K23</f>
        <v>10857.934311734616</v>
      </c>
      <c r="D23" s="6">
        <f t="shared" ref="D23:D34" si="25">(D22*(1+T23))+L23</f>
        <v>29796.799012917803</v>
      </c>
      <c r="E23" s="6">
        <f t="shared" si="12"/>
        <v>799094.44236294215</v>
      </c>
      <c r="F23" s="6">
        <f t="shared" si="13"/>
        <v>3858883.8154040202</v>
      </c>
      <c r="G23" s="6">
        <f>(G22*(1+W23))+O23</f>
        <v>306068.35517761239</v>
      </c>
      <c r="H23" s="6">
        <f t="shared" si="15"/>
        <v>70893.792041877896</v>
      </c>
      <c r="I23" s="6">
        <f t="shared" si="16"/>
        <v>43969.461575003763</v>
      </c>
      <c r="J23" s="6">
        <f t="shared" si="17"/>
        <v>6945.6685345391597</v>
      </c>
      <c r="K23" s="6">
        <f t="shared" si="18"/>
        <v>2944.9634586446036</v>
      </c>
      <c r="L23" s="6">
        <f t="shared" si="19"/>
        <v>8027.1156778843933</v>
      </c>
      <c r="M23" s="6">
        <f t="shared" si="20"/>
        <v>207856.93587475372</v>
      </c>
      <c r="N23" s="6">
        <f t="shared" si="21"/>
        <v>1014247.0041390692</v>
      </c>
      <c r="O23" s="6">
        <f t="shared" si="22"/>
        <v>77338.761990578132</v>
      </c>
      <c r="P23" s="6">
        <f t="shared" si="23"/>
        <v>18380.489479219679</v>
      </c>
      <c r="Q23" s="6">
        <f t="shared" si="24"/>
        <v>11734.56084531098</v>
      </c>
      <c r="R23" s="1">
        <v>0.02</v>
      </c>
      <c r="S23" s="1">
        <v>-0.01</v>
      </c>
      <c r="T23" s="1">
        <v>0</v>
      </c>
      <c r="U23" s="1">
        <v>-0.02</v>
      </c>
      <c r="V23" s="1">
        <v>0.03</v>
      </c>
      <c r="W23" s="1">
        <v>7.0000000000000007E-2</v>
      </c>
      <c r="X23" s="1">
        <v>0.02</v>
      </c>
      <c r="Y23" s="1">
        <v>-0.02</v>
      </c>
      <c r="Z23" s="2">
        <f>B23 / Combined_Portfolio!$B$6</f>
        <v>5.1296851171529101E-2</v>
      </c>
      <c r="AA23" s="2">
        <f>C23 /Combined_Portfolio!$B$7</f>
        <v>4.831761441676137E-2</v>
      </c>
      <c r="AB23" s="2">
        <f>D23 / Combined_Portfolio!$B$8</f>
        <v>4.8646127544776471E-2</v>
      </c>
      <c r="AC23" s="2">
        <f>E23/Combined_Portfolio!$B$9</f>
        <v>5.0381578887852191E-2</v>
      </c>
      <c r="AD23" s="2">
        <f>F23/Combined_Portfolio!$B$10</f>
        <v>4.9860445377564198E-2</v>
      </c>
      <c r="AE23" s="2">
        <f>G23/Combined_Portfolio!$B$11</f>
        <v>5.186321056645888E-2</v>
      </c>
      <c r="AF23" s="2">
        <f>H23/Combined_Portfolio!$B$12</f>
        <v>5.0546293937048209E-2</v>
      </c>
      <c r="AG23" s="2">
        <f>I23/Combined_Portfolio!$B$13</f>
        <v>4.9104635374504144E-2</v>
      </c>
    </row>
    <row r="24" spans="1:33" x14ac:dyDescent="0.45">
      <c r="A24" s="22">
        <v>5</v>
      </c>
      <c r="B24" s="6">
        <f t="shared" si="10"/>
        <v>33664.663148549233</v>
      </c>
      <c r="C24" s="6">
        <f t="shared" si="11"/>
        <v>14601.622002015529</v>
      </c>
      <c r="D24" s="6">
        <f t="shared" si="25"/>
        <v>38225.270474696415</v>
      </c>
      <c r="E24" s="6">
        <f t="shared" si="12"/>
        <v>1057298.9471495808</v>
      </c>
      <c r="F24" s="6">
        <f t="shared" si="13"/>
        <v>5271142.7131364057</v>
      </c>
      <c r="G24" s="6">
        <f t="shared" si="14"/>
        <v>393395.42237127171</v>
      </c>
      <c r="H24" s="6">
        <f t="shared" si="15"/>
        <v>90902.243915477346</v>
      </c>
      <c r="I24" s="6">
        <f t="shared" si="16"/>
        <v>57170.139694080368</v>
      </c>
      <c r="J24" s="6">
        <f t="shared" si="17"/>
        <v>7292.9519612661179</v>
      </c>
      <c r="K24" s="6">
        <f t="shared" si="18"/>
        <v>3092.211631576834</v>
      </c>
      <c r="L24" s="6">
        <f t="shared" si="19"/>
        <v>8428.471461778614</v>
      </c>
      <c r="M24" s="6">
        <f t="shared" si="20"/>
        <v>218249.78266849142</v>
      </c>
      <c r="N24" s="6">
        <f t="shared" si="21"/>
        <v>1064959.3543460227</v>
      </c>
      <c r="O24" s="6">
        <f t="shared" si="22"/>
        <v>81205.700090107042</v>
      </c>
      <c r="P24" s="6">
        <f t="shared" si="23"/>
        <v>19299.513953180664</v>
      </c>
      <c r="Q24" s="6">
        <f t="shared" si="24"/>
        <v>12321.288887576529</v>
      </c>
      <c r="R24" s="1">
        <v>-0.03</v>
      </c>
      <c r="S24" s="1">
        <v>0.06</v>
      </c>
      <c r="T24" s="1">
        <v>0</v>
      </c>
      <c r="U24" s="1">
        <v>0.05</v>
      </c>
      <c r="V24" s="1">
        <v>0.09</v>
      </c>
      <c r="W24" s="1">
        <v>0.02</v>
      </c>
      <c r="X24" s="1">
        <v>0.01</v>
      </c>
      <c r="Y24" s="1">
        <v>0.02</v>
      </c>
      <c r="Z24" s="2">
        <f>B24 / Combined_Portfolio!$B$6</f>
        <v>6.3518232355753268E-2</v>
      </c>
      <c r="AA24" s="2">
        <f>C24 /Combined_Portfolio!$B$7</f>
        <v>6.4976958001137092E-2</v>
      </c>
      <c r="AB24" s="2">
        <f>D24 / Combined_Portfolio!$B$8</f>
        <v>6.2406414264146511E-2</v>
      </c>
      <c r="AC24" s="2">
        <f>E24/Combined_Portfolio!$B$9</f>
        <v>6.6660944551614851E-2</v>
      </c>
      <c r="AD24" s="2">
        <f>F24/Combined_Portfolio!$B$10</f>
        <v>6.8108172180915028E-2</v>
      </c>
      <c r="AE24" s="2">
        <f>G24/Combined_Portfolio!$B$11</f>
        <v>6.6660761497158091E-2</v>
      </c>
      <c r="AF24" s="2">
        <f>H24/Combined_Portfolio!$B$12</f>
        <v>6.4812043595788724E-2</v>
      </c>
      <c r="AG24" s="2">
        <f>I24/Combined_Portfolio!$B$13</f>
        <v>6.384701480136426E-2</v>
      </c>
    </row>
    <row r="25" spans="1:33" x14ac:dyDescent="0.45">
      <c r="A25" s="22">
        <v>6</v>
      </c>
      <c r="B25" s="6">
        <f t="shared" si="10"/>
        <v>42668.849233820627</v>
      </c>
      <c r="C25" s="6">
        <f>(C24*(1+S25))+K25</f>
        <v>17702.427995151047</v>
      </c>
      <c r="D25" s="6">
        <f t="shared" si="25"/>
        <v>49368.681738045743</v>
      </c>
      <c r="E25" s="6">
        <f t="shared" si="12"/>
        <v>1360472.1452519675</v>
      </c>
      <c r="F25" s="6">
        <f t="shared" si="13"/>
        <v>6073081.472411545</v>
      </c>
      <c r="G25" s="6">
        <f t="shared" si="14"/>
        <v>514066.99547929858</v>
      </c>
      <c r="H25" s="6">
        <f t="shared" si="15"/>
        <v>109348.68868800749</v>
      </c>
      <c r="I25" s="6">
        <f t="shared" si="16"/>
        <v>68964.090232154122</v>
      </c>
      <c r="J25" s="6">
        <f t="shared" si="17"/>
        <v>7657.5995593294238</v>
      </c>
      <c r="K25" s="6">
        <f t="shared" si="18"/>
        <v>3246.8222131556759</v>
      </c>
      <c r="L25" s="6">
        <f t="shared" si="19"/>
        <v>8849.8950348675444</v>
      </c>
      <c r="M25" s="6">
        <f t="shared" si="20"/>
        <v>229162.27180191601</v>
      </c>
      <c r="N25" s="6">
        <f t="shared" si="21"/>
        <v>1118207.3220633238</v>
      </c>
      <c r="O25" s="6">
        <f t="shared" si="22"/>
        <v>85265.985094612392</v>
      </c>
      <c r="P25" s="6">
        <f t="shared" si="23"/>
        <v>20264.489650839696</v>
      </c>
      <c r="Q25" s="6">
        <f t="shared" si="24"/>
        <v>12937.353331955357</v>
      </c>
      <c r="R25" s="1">
        <v>0.04</v>
      </c>
      <c r="S25" s="1">
        <v>-0.01</v>
      </c>
      <c r="T25" s="1">
        <v>0.06</v>
      </c>
      <c r="U25" s="1">
        <v>7.0000000000000007E-2</v>
      </c>
      <c r="V25" s="1">
        <v>-0.06</v>
      </c>
      <c r="W25" s="1">
        <v>0.09</v>
      </c>
      <c r="X25" s="1">
        <v>-0.02</v>
      </c>
      <c r="Y25" s="1">
        <v>-0.02</v>
      </c>
      <c r="Z25" s="2">
        <f>B25 / Combined_Portfolio!$B$6</f>
        <v>8.0507262705321936E-2</v>
      </c>
      <c r="AA25" s="2">
        <f>C25 /Combined_Portfolio!$B$7</f>
        <v>7.8775489476464247E-2</v>
      </c>
      <c r="AB25" s="2">
        <f>D25 / Combined_Portfolio!$B$8</f>
        <v>8.0599100175333838E-2</v>
      </c>
      <c r="AC25" s="2">
        <f>E25/Combined_Portfolio!$B$9</f>
        <v>8.5775511725566425E-2</v>
      </c>
      <c r="AD25" s="2">
        <f>F25/Combined_Portfolio!$B$10</f>
        <v>7.8469982905398653E-2</v>
      </c>
      <c r="AE25" s="2">
        <f>G25/Combined_Portfolio!$B$11</f>
        <v>8.7108531087240856E-2</v>
      </c>
      <c r="AF25" s="2">
        <f>H25/Combined_Portfolio!$B$12</f>
        <v>7.796410377921148E-2</v>
      </c>
      <c r="AG25" s="2">
        <f>I25/Combined_Portfolio!$B$13</f>
        <v>7.701837556067552E-2</v>
      </c>
    </row>
    <row r="26" spans="1:33" x14ac:dyDescent="0.45">
      <c r="A26" s="22">
        <v>7</v>
      </c>
      <c r="B26" s="6">
        <f t="shared" si="10"/>
        <v>51989.394248131146</v>
      </c>
      <c r="C26" s="6">
        <f t="shared" si="11"/>
        <v>21996.712718722061</v>
      </c>
      <c r="D26" s="6">
        <f t="shared" si="25"/>
        <v>62116.879246319877</v>
      </c>
      <c r="E26" s="6">
        <f t="shared" si="12"/>
        <v>1696325.5808116172</v>
      </c>
      <c r="F26" s="6">
        <f t="shared" si="13"/>
        <v>7733045.6783709591</v>
      </c>
      <c r="G26" s="6">
        <f t="shared" si="14"/>
        <v>629299.62960260652</v>
      </c>
      <c r="H26" s="6">
        <f t="shared" si="15"/>
        <v>126252.45527386887</v>
      </c>
      <c r="I26" s="6">
        <f t="shared" si="16"/>
        <v>82548.311230707244</v>
      </c>
      <c r="J26" s="6">
        <f t="shared" si="17"/>
        <v>8040.4795372958952</v>
      </c>
      <c r="K26" s="6">
        <f t="shared" si="18"/>
        <v>3409.16332381346</v>
      </c>
      <c r="L26" s="6">
        <f t="shared" si="19"/>
        <v>9292.3897866109219</v>
      </c>
      <c r="M26" s="6">
        <f t="shared" si="20"/>
        <v>240620.38539201181</v>
      </c>
      <c r="N26" s="6">
        <f t="shared" si="21"/>
        <v>1174117.6881664901</v>
      </c>
      <c r="O26" s="6">
        <f t="shared" si="22"/>
        <v>89529.284349343012</v>
      </c>
      <c r="P26" s="6">
        <f t="shared" si="23"/>
        <v>21277.71413338168</v>
      </c>
      <c r="Q26" s="6">
        <f t="shared" si="24"/>
        <v>13584.220998553126</v>
      </c>
      <c r="R26" s="1">
        <v>0.03</v>
      </c>
      <c r="S26" s="1">
        <v>0.05</v>
      </c>
      <c r="T26" s="1">
        <v>7.0000000000000007E-2</v>
      </c>
      <c r="U26" s="1">
        <v>7.0000000000000007E-2</v>
      </c>
      <c r="V26" s="1">
        <v>0.08</v>
      </c>
      <c r="W26" s="1">
        <v>0.05</v>
      </c>
      <c r="X26" s="1">
        <v>-0.04</v>
      </c>
      <c r="Y26" s="1">
        <v>0</v>
      </c>
      <c r="Z26" s="2">
        <f>B26 / Combined_Portfolio!$B$6</f>
        <v>9.8093196694587062E-2</v>
      </c>
      <c r="AA26" s="2">
        <f>C26 /Combined_Portfolio!$B$7</f>
        <v>9.7884980058392926E-2</v>
      </c>
      <c r="AB26" s="2">
        <f>D26 / Combined_Portfolio!$B$8</f>
        <v>0.10141175329571268</v>
      </c>
      <c r="AC26" s="2">
        <f>E26/Combined_Portfolio!$B$9</f>
        <v>0.10695051365446155</v>
      </c>
      <c r="AD26" s="2">
        <f>F26/Combined_Portfolio!$B$10</f>
        <v>9.9918297645936016E-2</v>
      </c>
      <c r="AE26" s="2">
        <f>G26/Combined_Portfolio!$B$11</f>
        <v>0.10663467374970836</v>
      </c>
      <c r="AF26" s="2">
        <f>H26/Combined_Portfolio!$B$12</f>
        <v>9.0016255736148479E-2</v>
      </c>
      <c r="AG26" s="2">
        <f>I26/Combined_Portfolio!$B$13</f>
        <v>9.2189091668780976E-2</v>
      </c>
    </row>
    <row r="27" spans="1:33" x14ac:dyDescent="0.45">
      <c r="A27" s="22">
        <v>8</v>
      </c>
      <c r="B27" s="6">
        <f t="shared" si="10"/>
        <v>59912.003819810518</v>
      </c>
      <c r="C27" s="6">
        <f t="shared" si="11"/>
        <v>25576.334208726195</v>
      </c>
      <c r="D27" s="6">
        <f t="shared" si="25"/>
        <v>75600.901277040539</v>
      </c>
      <c r="E27" s="6">
        <f t="shared" si="12"/>
        <v>1847197.4506245325</v>
      </c>
      <c r="F27" s="6">
        <f>(F26*(1+V27))+N27</f>
        <v>8501886.5102435146</v>
      </c>
      <c r="G27" s="6">
        <f t="shared" si="14"/>
        <v>717012.38187339064</v>
      </c>
      <c r="H27" s="6">
        <f t="shared" si="15"/>
        <v>147331.53056118093</v>
      </c>
      <c r="I27" s="6">
        <f t="shared" si="16"/>
        <v>99288.192616109241</v>
      </c>
      <c r="J27" s="6">
        <f t="shared" si="17"/>
        <v>8442.5035141606895</v>
      </c>
      <c r="K27" s="6">
        <f t="shared" si="18"/>
        <v>3579.6214900041332</v>
      </c>
      <c r="L27" s="6">
        <f t="shared" si="19"/>
        <v>9757.0092759414692</v>
      </c>
      <c r="M27" s="6">
        <f t="shared" si="20"/>
        <v>252651.40466161241</v>
      </c>
      <c r="N27" s="6">
        <f t="shared" si="21"/>
        <v>1232823.5725748145</v>
      </c>
      <c r="O27" s="6">
        <f t="shared" si="22"/>
        <v>94005.748566810173</v>
      </c>
      <c r="P27" s="6">
        <f t="shared" si="23"/>
        <v>22341.599840050763</v>
      </c>
      <c r="Q27" s="6">
        <f t="shared" si="24"/>
        <v>14263.432048480783</v>
      </c>
      <c r="R27" s="1">
        <v>-0.01</v>
      </c>
      <c r="S27" s="1">
        <v>0</v>
      </c>
      <c r="T27" s="1">
        <v>0.06</v>
      </c>
      <c r="U27" s="1">
        <v>-0.06</v>
      </c>
      <c r="V27" s="1">
        <v>-0.06</v>
      </c>
      <c r="W27" s="1">
        <v>-0.01</v>
      </c>
      <c r="X27" s="1">
        <v>-0.01</v>
      </c>
      <c r="Y27" s="1">
        <v>0.03</v>
      </c>
      <c r="Z27" s="2">
        <f>B27 / Combined_Portfolio!$B$6</f>
        <v>0.11304151664115192</v>
      </c>
      <c r="AA27" s="2">
        <f>C27 /Combined_Portfolio!$B$7</f>
        <v>0.11381423197190367</v>
      </c>
      <c r="AB27" s="2">
        <f>D27 / Combined_Portfolio!$B$8</f>
        <v>0.12342571040696619</v>
      </c>
      <c r="AC27" s="2">
        <f>E27/Combined_Portfolio!$B$9</f>
        <v>0.1164627347487046</v>
      </c>
      <c r="AD27" s="2">
        <f>F27/Combined_Portfolio!$B$10</f>
        <v>0.10985245170069056</v>
      </c>
      <c r="AE27" s="2">
        <f>G27/Combined_Portfolio!$B$11</f>
        <v>0.12149757892572202</v>
      </c>
      <c r="AF27" s="2">
        <f>H27/Combined_Portfolio!$B$12</f>
        <v>0.10504534509229771</v>
      </c>
      <c r="AG27" s="2">
        <f>I27/Combined_Portfolio!$B$13</f>
        <v>0.11088401633235515</v>
      </c>
    </row>
    <row r="28" spans="1:33" x14ac:dyDescent="0.45">
      <c r="A28" s="22">
        <v>9</v>
      </c>
      <c r="B28" s="6">
        <f t="shared" si="10"/>
        <v>68776.632509679243</v>
      </c>
      <c r="C28" s="6">
        <f t="shared" si="11"/>
        <v>30613.753483666846</v>
      </c>
      <c r="D28" s="6">
        <f t="shared" si="25"/>
        <v>84333.74299123828</v>
      </c>
      <c r="E28" s="6">
        <f t="shared" si="12"/>
        <v>2149425.3745317161</v>
      </c>
      <c r="F28" s="6">
        <f t="shared" si="13"/>
        <v>10051407.856754376</v>
      </c>
      <c r="G28" s="6">
        <f t="shared" si="14"/>
        <v>851569.0369622109</v>
      </c>
      <c r="H28" s="6">
        <f t="shared" si="15"/>
        <v>164896.949170787</v>
      </c>
      <c r="I28" s="6">
        <f t="shared" si="16"/>
        <v>116250.56011933625</v>
      </c>
      <c r="J28" s="6">
        <f t="shared" ref="J28:J34" si="26">J27*1.05</f>
        <v>8864.6286898687249</v>
      </c>
      <c r="K28" s="6">
        <f t="shared" si="18"/>
        <v>3758.6025645043401</v>
      </c>
      <c r="L28" s="6">
        <f t="shared" si="19"/>
        <v>10244.859739738544</v>
      </c>
      <c r="M28" s="6">
        <f t="shared" si="20"/>
        <v>265283.97489469306</v>
      </c>
      <c r="N28" s="6">
        <f t="shared" si="21"/>
        <v>1294464.7512035554</v>
      </c>
      <c r="O28" s="6">
        <f t="shared" si="22"/>
        <v>98706.035995150683</v>
      </c>
      <c r="P28" s="6">
        <f t="shared" si="23"/>
        <v>23458.679832053302</v>
      </c>
      <c r="Q28" s="6">
        <f t="shared" si="24"/>
        <v>14976.603650904823</v>
      </c>
      <c r="R28" s="1">
        <v>0</v>
      </c>
      <c r="S28" s="1">
        <v>0.05</v>
      </c>
      <c r="T28" s="1">
        <v>-0.02</v>
      </c>
      <c r="U28" s="1">
        <v>0.02</v>
      </c>
      <c r="V28" s="1">
        <v>0.03</v>
      </c>
      <c r="W28" s="1">
        <v>0.05</v>
      </c>
      <c r="X28" s="1">
        <v>-0.04</v>
      </c>
      <c r="Y28" s="1">
        <v>0.02</v>
      </c>
      <c r="Z28" s="2">
        <f>B28 / Combined_Portfolio!$B$6</f>
        <v>0.1297672311503382</v>
      </c>
      <c r="AA28" s="2">
        <f>C28 /Combined_Portfolio!$B$7</f>
        <v>0.13623065807968512</v>
      </c>
      <c r="AB28" s="2">
        <f>D28 / Combined_Portfolio!$B$8</f>
        <v>0.13768291070801317</v>
      </c>
      <c r="AC28" s="2">
        <f>E28/Combined_Portfolio!$B$9</f>
        <v>0.13551770395286494</v>
      </c>
      <c r="AD28" s="2">
        <f>F28/Combined_Portfolio!$B$10</f>
        <v>0.12987373976089756</v>
      </c>
      <c r="AE28" s="2">
        <f>G28/Combined_Portfolio!$B$11</f>
        <v>0.14429817238119441</v>
      </c>
      <c r="AF28" s="2">
        <f>H28/Combined_Portfolio!$B$12</f>
        <v>0.11756924579779209</v>
      </c>
      <c r="AG28" s="2">
        <f>I28/Combined_Portfolio!$B$13</f>
        <v>0.12982741116818852</v>
      </c>
    </row>
    <row r="29" spans="1:33" x14ac:dyDescent="0.45">
      <c r="A29" s="22">
        <v>10</v>
      </c>
      <c r="B29" s="6">
        <f t="shared" si="10"/>
        <v>78084.492634041409</v>
      </c>
      <c r="C29" s="6">
        <f t="shared" si="11"/>
        <v>34866.423711233074</v>
      </c>
      <c r="D29" s="6">
        <f>(D28*(1+T29))+L29</f>
        <v>93404.170858138983</v>
      </c>
      <c r="E29" s="6">
        <f t="shared" si="12"/>
        <v>2513950.5631524129</v>
      </c>
      <c r="F29" s="6">
        <f t="shared" si="13"/>
        <v>11209567.68838302</v>
      </c>
      <c r="G29" s="6">
        <f t="shared" si="14"/>
        <v>1031851.5880837182</v>
      </c>
      <c r="H29" s="6">
        <f t="shared" si="15"/>
        <v>182932.68502761147</v>
      </c>
      <c r="I29" s="6">
        <f t="shared" si="16"/>
        <v>135463.51075636642</v>
      </c>
      <c r="J29" s="6">
        <f t="shared" si="26"/>
        <v>9307.8601243621615</v>
      </c>
      <c r="K29" s="6">
        <f t="shared" si="18"/>
        <v>3946.5326927295573</v>
      </c>
      <c r="L29" s="6">
        <f t="shared" si="19"/>
        <v>10757.102726725472</v>
      </c>
      <c r="M29" s="6">
        <f t="shared" si="20"/>
        <v>278548.17363942775</v>
      </c>
      <c r="N29" s="6">
        <f t="shared" si="21"/>
        <v>1359187.9887637333</v>
      </c>
      <c r="O29" s="6">
        <f t="shared" si="22"/>
        <v>103641.33779490822</v>
      </c>
      <c r="P29" s="6">
        <f t="shared" si="23"/>
        <v>24631.613823655967</v>
      </c>
      <c r="Q29" s="6">
        <f t="shared" si="24"/>
        <v>15725.433833450064</v>
      </c>
      <c r="R29" s="1">
        <v>0</v>
      </c>
      <c r="S29" s="1">
        <v>0.01</v>
      </c>
      <c r="T29" s="1">
        <v>-0.02</v>
      </c>
      <c r="U29" s="1">
        <v>0.04</v>
      </c>
      <c r="V29" s="1">
        <v>-0.02</v>
      </c>
      <c r="W29" s="1">
        <v>0.09</v>
      </c>
      <c r="X29" s="1">
        <v>-0.04</v>
      </c>
      <c r="Y29" s="1">
        <v>0.03</v>
      </c>
      <c r="Z29" s="2">
        <f>B29 / Combined_Portfolio!$B$6</f>
        <v>0.1473292313849838</v>
      </c>
      <c r="AA29" s="2">
        <f>C29 /Combined_Portfolio!$B$7</f>
        <v>0.15515496489512759</v>
      </c>
      <c r="AB29" s="2">
        <f>D29 / Combined_Portfolio!$B$8</f>
        <v>0.15249125272849848</v>
      </c>
      <c r="AC29" s="2">
        <f>E29/Combined_Portfolio!$B$9</f>
        <v>0.15850041234562517</v>
      </c>
      <c r="AD29" s="2">
        <f>F29/Combined_Portfolio!$B$10</f>
        <v>0.14483826520032519</v>
      </c>
      <c r="AE29" s="2">
        <f>G29/Combined_Portfolio!$B$11</f>
        <v>0.1748470081301475</v>
      </c>
      <c r="AF29" s="2">
        <f>H29/Combined_Portfolio!$B$12</f>
        <v>0.13042847620052597</v>
      </c>
      <c r="AG29" s="2">
        <f>I29/Combined_Portfolio!$B$13</f>
        <v>0.1512842337378798</v>
      </c>
    </row>
    <row r="30" spans="1:33" x14ac:dyDescent="0.45">
      <c r="A30" s="22">
        <v>11</v>
      </c>
      <c r="B30" s="6">
        <f t="shared" si="10"/>
        <v>84734.366059260021</v>
      </c>
      <c r="C30" s="6">
        <f t="shared" si="11"/>
        <v>40404.939987048434</v>
      </c>
      <c r="D30" s="6">
        <f>(D29*(1+T30))+L30</f>
        <v>109369.33726410769</v>
      </c>
      <c r="E30" s="6">
        <f t="shared" si="12"/>
        <v>2831565.6511053364</v>
      </c>
      <c r="F30" s="6">
        <f t="shared" si="13"/>
        <v>13533480.491655583</v>
      </c>
      <c r="G30" s="6">
        <f t="shared" si="14"/>
        <v>1130356.4768875346</v>
      </c>
      <c r="H30" s="6">
        <f t="shared" si="15"/>
        <v>210625.20639272637</v>
      </c>
      <c r="I30" s="6">
        <f t="shared" si="16"/>
        <v>151975.216281489</v>
      </c>
      <c r="J30" s="6">
        <f t="shared" si="26"/>
        <v>9773.2531305802695</v>
      </c>
      <c r="K30" s="6">
        <f t="shared" si="18"/>
        <v>4143.8593273660354</v>
      </c>
      <c r="L30" s="6">
        <f t="shared" si="19"/>
        <v>11294.957863061747</v>
      </c>
      <c r="M30" s="6">
        <f t="shared" si="20"/>
        <v>292475.58232139918</v>
      </c>
      <c r="N30" s="6">
        <f t="shared" si="21"/>
        <v>1427147.3882019201</v>
      </c>
      <c r="O30" s="6">
        <f t="shared" si="22"/>
        <v>108823.40468465364</v>
      </c>
      <c r="P30" s="6">
        <f t="shared" si="23"/>
        <v>25863.194514838768</v>
      </c>
      <c r="Q30" s="6">
        <f t="shared" si="24"/>
        <v>16511.705525122568</v>
      </c>
      <c r="R30" s="1">
        <v>-0.04</v>
      </c>
      <c r="S30" s="1">
        <v>0.04</v>
      </c>
      <c r="T30" s="1">
        <v>0.05</v>
      </c>
      <c r="U30" s="1">
        <v>0.01</v>
      </c>
      <c r="V30" s="1">
        <v>0.08</v>
      </c>
      <c r="W30" s="1">
        <v>-0.01</v>
      </c>
      <c r="X30" s="1">
        <v>0.01</v>
      </c>
      <c r="Y30" s="1">
        <v>0</v>
      </c>
      <c r="Z30" s="2">
        <f>B30 / Combined_Portfolio!$B$6</f>
        <v>0.15987616237596231</v>
      </c>
      <c r="AA30" s="2">
        <f>C30 /Combined_Portfolio!$B$7</f>
        <v>0.17980126373731056</v>
      </c>
      <c r="AB30" s="2">
        <f>D30 / Combined_Portfolio!$B$8</f>
        <v>0.1785559156113013</v>
      </c>
      <c r="AC30" s="2">
        <f>E30/Combined_Portfolio!$B$9</f>
        <v>0.1785255167154593</v>
      </c>
      <c r="AD30" s="2">
        <f>F30/Combined_Portfolio!$B$10</f>
        <v>0.17486542666272908</v>
      </c>
      <c r="AE30" s="2">
        <f>G30/Combined_Portfolio!$B$11</f>
        <v>0.19153863829522388</v>
      </c>
      <c r="AF30" s="2">
        <f>H30/Combined_Portfolio!$B$12</f>
        <v>0.1501728612089091</v>
      </c>
      <c r="AG30" s="2">
        <f>I30/Combined_Portfolio!$B$13</f>
        <v>0.16972433398425768</v>
      </c>
    </row>
    <row r="31" spans="1:33" x14ac:dyDescent="0.45">
      <c r="A31" s="22">
        <v>12</v>
      </c>
      <c r="B31" s="6">
        <f t="shared" si="10"/>
        <v>94148.9381857767</v>
      </c>
      <c r="C31" s="6">
        <f t="shared" si="11"/>
        <v>45968.140480394228</v>
      </c>
      <c r="D31" s="6">
        <f t="shared" si="25"/>
        <v>126697.50988352792</v>
      </c>
      <c r="E31" s="6">
        <f t="shared" si="12"/>
        <v>3308558.9516091258</v>
      </c>
      <c r="F31" s="6">
        <f t="shared" si="13"/>
        <v>14896650.444351044</v>
      </c>
      <c r="G31" s="6">
        <f t="shared" si="14"/>
        <v>1323746.0051885485</v>
      </c>
      <c r="H31" s="6">
        <f t="shared" si="15"/>
        <v>231462.80444152525</v>
      </c>
      <c r="I31" s="6">
        <f t="shared" si="16"/>
        <v>169312.5070828677</v>
      </c>
      <c r="J31" s="6">
        <f t="shared" si="26"/>
        <v>10261.915787109283</v>
      </c>
      <c r="K31" s="6">
        <f t="shared" si="18"/>
        <v>4351.0522937343376</v>
      </c>
      <c r="L31" s="6">
        <f t="shared" si="19"/>
        <v>11859.705756214835</v>
      </c>
      <c r="M31" s="6">
        <f t="shared" si="20"/>
        <v>307099.36143746914</v>
      </c>
      <c r="N31" s="6">
        <f t="shared" si="21"/>
        <v>1498504.7576120161</v>
      </c>
      <c r="O31" s="6">
        <f t="shared" si="22"/>
        <v>114264.57491888633</v>
      </c>
      <c r="P31" s="6">
        <f t="shared" si="23"/>
        <v>27156.354240580706</v>
      </c>
      <c r="Q31" s="6">
        <f t="shared" si="24"/>
        <v>17337.290801378698</v>
      </c>
      <c r="R31" s="1">
        <v>-0.01</v>
      </c>
      <c r="S31" s="1">
        <v>0.03</v>
      </c>
      <c r="T31" s="1">
        <v>0.05</v>
      </c>
      <c r="U31" s="1">
        <v>0.06</v>
      </c>
      <c r="V31" s="1">
        <v>-0.01</v>
      </c>
      <c r="W31" s="1">
        <v>7.0000000000000007E-2</v>
      </c>
      <c r="X31" s="1">
        <v>-0.03</v>
      </c>
      <c r="Y31" s="1">
        <v>0</v>
      </c>
      <c r="Z31" s="2">
        <f>B31 / Combined_Portfolio!$B$6</f>
        <v>0.17763950601089942</v>
      </c>
      <c r="AA31" s="2">
        <f>C31 /Combined_Portfolio!$B$7</f>
        <v>0.20455740690812665</v>
      </c>
      <c r="AB31" s="2">
        <f>D31 / Combined_Portfolio!$B$8</f>
        <v>0.20684581665056315</v>
      </c>
      <c r="AC31" s="2">
        <f>E31/Combined_Portfolio!$B$9</f>
        <v>0.20859915297708365</v>
      </c>
      <c r="AD31" s="2">
        <f>F31/Combined_Portfolio!$B$10</f>
        <v>0.19247887765479854</v>
      </c>
      <c r="AE31" s="2">
        <f>G31/Combined_Portfolio!$B$11</f>
        <v>0.22430844823458634</v>
      </c>
      <c r="AF31" s="2">
        <f>H31/Combined_Portfolio!$B$12</f>
        <v>0.16502978063133855</v>
      </c>
      <c r="AG31" s="2">
        <f>I31/Combined_Portfolio!$B$13</f>
        <v>0.18908643924295443</v>
      </c>
    </row>
    <row r="32" spans="1:33" x14ac:dyDescent="0.45">
      <c r="A32" s="22">
        <v>13</v>
      </c>
      <c r="B32" s="6">
        <f t="shared" si="10"/>
        <v>101157.99223481037</v>
      </c>
      <c r="C32" s="6">
        <f t="shared" si="11"/>
        <v>52375.471008031054</v>
      </c>
      <c r="D32" s="6">
        <f t="shared" si="25"/>
        <v>140417.17602638877</v>
      </c>
      <c r="E32" s="6">
        <f t="shared" si="12"/>
        <v>3697184.4601506512</v>
      </c>
      <c r="F32" s="6">
        <f t="shared" si="13"/>
        <v>17959745.484278768</v>
      </c>
      <c r="G32" s="6">
        <f t="shared" si="14"/>
        <v>1536386.0292165778</v>
      </c>
      <c r="H32" s="6">
        <f t="shared" si="15"/>
        <v>257662.34834971972</v>
      </c>
      <c r="I32" s="6">
        <f t="shared" si="16"/>
        <v>195982.2877784587</v>
      </c>
      <c r="J32" s="6">
        <f t="shared" si="26"/>
        <v>10775.011576464747</v>
      </c>
      <c r="K32" s="6">
        <f t="shared" si="18"/>
        <v>4568.6049084210545</v>
      </c>
      <c r="L32" s="6">
        <f t="shared" si="19"/>
        <v>12452.691044025578</v>
      </c>
      <c r="M32" s="6">
        <f t="shared" si="20"/>
        <v>322454.32950934261</v>
      </c>
      <c r="N32" s="6">
        <f t="shared" si="21"/>
        <v>1573429.9954926169</v>
      </c>
      <c r="O32" s="6">
        <f t="shared" si="22"/>
        <v>119977.80366483064</v>
      </c>
      <c r="P32" s="6">
        <f t="shared" si="23"/>
        <v>28514.17195260974</v>
      </c>
      <c r="Q32" s="6">
        <f t="shared" si="24"/>
        <v>18204.155341447633</v>
      </c>
      <c r="R32" s="1">
        <v>-0.04</v>
      </c>
      <c r="S32" s="1">
        <v>0.04</v>
      </c>
      <c r="T32" s="1">
        <v>0.01</v>
      </c>
      <c r="U32" s="1">
        <v>0.02</v>
      </c>
      <c r="V32" s="1">
        <v>0.1</v>
      </c>
      <c r="W32" s="1">
        <v>7.0000000000000007E-2</v>
      </c>
      <c r="X32" s="1">
        <v>-0.01</v>
      </c>
      <c r="Y32" s="1">
        <v>0.05</v>
      </c>
      <c r="Z32" s="2">
        <f>B32 / Combined_Portfolio!$B$6</f>
        <v>0.19086413629209503</v>
      </c>
      <c r="AA32" s="2">
        <f>C32 /Combined_Portfolio!$B$7</f>
        <v>0.23306991370608335</v>
      </c>
      <c r="AB32" s="2">
        <f>D32 / Combined_Portfolio!$B$8</f>
        <v>0.2292444853387004</v>
      </c>
      <c r="AC32" s="2">
        <f>E32/Combined_Portfolio!$B$9</f>
        <v>0.23310134655825693</v>
      </c>
      <c r="AD32" s="2">
        <f>F32/Combined_Portfolio!$B$10</f>
        <v>0.23205697594191005</v>
      </c>
      <c r="AE32" s="2">
        <f>G32/Combined_Portfolio!$B$11</f>
        <v>0.26034025013263906</v>
      </c>
      <c r="AF32" s="2">
        <f>H32/Combined_Portfolio!$B$12</f>
        <v>0.18370969334665674</v>
      </c>
      <c r="AG32" s="2">
        <f>I32/Combined_Portfolio!$B$13</f>
        <v>0.21887097172673375</v>
      </c>
    </row>
    <row r="33" spans="1:33" x14ac:dyDescent="0.45">
      <c r="A33" s="22">
        <v>14</v>
      </c>
      <c r="B33" s="6">
        <f t="shared" si="10"/>
        <v>115506.49415714268</v>
      </c>
      <c r="C33" s="6">
        <f t="shared" si="11"/>
        <v>56648.75145179285</v>
      </c>
      <c r="D33" s="6">
        <f t="shared" si="25"/>
        <v>152088.32986235173</v>
      </c>
      <c r="E33" s="6">
        <f t="shared" si="12"/>
        <v>3887874.1277294345</v>
      </c>
      <c r="F33" s="6">
        <f t="shared" si="13"/>
        <v>18713859.705332078</v>
      </c>
      <c r="G33" s="6">
        <f t="shared" si="14"/>
        <v>1754545.8848176445</v>
      </c>
      <c r="H33" s="6">
        <f t="shared" si="15"/>
        <v>310791.84025143471</v>
      </c>
      <c r="I33" s="6">
        <f t="shared" si="16"/>
        <v>226855.58815368626</v>
      </c>
      <c r="J33" s="6">
        <f t="shared" si="26"/>
        <v>11313.762155287985</v>
      </c>
      <c r="K33" s="6">
        <f t="shared" si="18"/>
        <v>4797.0351538421073</v>
      </c>
      <c r="L33" s="6">
        <f t="shared" si="19"/>
        <v>13075.325596226858</v>
      </c>
      <c r="M33" s="6">
        <f t="shared" si="20"/>
        <v>338577.04598480975</v>
      </c>
      <c r="N33" s="6">
        <f t="shared" si="21"/>
        <v>1652101.4952672478</v>
      </c>
      <c r="O33" s="6">
        <f t="shared" si="22"/>
        <v>125976.69384807219</v>
      </c>
      <c r="P33" s="6">
        <f t="shared" si="23"/>
        <v>29939.880550240228</v>
      </c>
      <c r="Q33" s="6">
        <f t="shared" si="24"/>
        <v>19114.363108520014</v>
      </c>
      <c r="R33" s="1">
        <v>0.03</v>
      </c>
      <c r="S33" s="1">
        <v>-0.01</v>
      </c>
      <c r="T33" s="1">
        <v>-0.01</v>
      </c>
      <c r="U33" s="1">
        <v>-0.04</v>
      </c>
      <c r="V33" s="1">
        <v>-0.05</v>
      </c>
      <c r="W33" s="1">
        <v>0.06</v>
      </c>
      <c r="X33" s="1">
        <v>0.09</v>
      </c>
      <c r="Y33" s="1">
        <v>0.06</v>
      </c>
      <c r="Z33" s="2">
        <f>B33 / Combined_Portfolio!$B$6</f>
        <v>0.21793678142857109</v>
      </c>
      <c r="AA33" s="2">
        <f>C33 /Combined_Portfolio!$B$7</f>
        <v>0.2520859356167357</v>
      </c>
      <c r="AB33" s="2">
        <f>D33 / Combined_Portfolio!$B$8</f>
        <v>0.24829876153302657</v>
      </c>
      <c r="AC33" s="2">
        <f>E33/Combined_Portfolio!$B$9</f>
        <v>0.24512401374363982</v>
      </c>
      <c r="AD33" s="2">
        <f>F33/Combined_Portfolio!$B$10</f>
        <v>0.24180084819252773</v>
      </c>
      <c r="AE33" s="2">
        <f>G33/Combined_Portfolio!$B$11</f>
        <v>0.29730738618831054</v>
      </c>
      <c r="AF33" s="2">
        <f>H33/Combined_Portfolio!$B$12</f>
        <v>0.221590286795569</v>
      </c>
      <c r="AG33" s="2">
        <f>I33/Combined_Portfolio!$B$13</f>
        <v>0.25334995107805097</v>
      </c>
    </row>
    <row r="34" spans="1:33" x14ac:dyDescent="0.45">
      <c r="A34" s="22">
        <v>15</v>
      </c>
      <c r="B34" s="6">
        <f t="shared" si="10"/>
        <v>133161.2691280522</v>
      </c>
      <c r="C34" s="6">
        <f>(C33*(1+S34))+K34</f>
        <v>63951.588421398774</v>
      </c>
      <c r="D34" s="6">
        <f t="shared" si="25"/>
        <v>167338.30503701346</v>
      </c>
      <c r="E34" s="6">
        <f t="shared" si="12"/>
        <v>4126743.8021816015</v>
      </c>
      <c r="F34" s="6">
        <f t="shared" si="13"/>
        <v>21384259.260629293</v>
      </c>
      <c r="G34" s="6">
        <f t="shared" si="14"/>
        <v>1957003.2487508261</v>
      </c>
      <c r="H34" s="6">
        <f>(H33*(1+X34))+P34</f>
        <v>370199.98045181611</v>
      </c>
      <c r="I34" s="6">
        <f t="shared" si="16"/>
        <v>255999.89294377973</v>
      </c>
      <c r="J34" s="6">
        <f t="shared" si="26"/>
        <v>11879.450263052384</v>
      </c>
      <c r="K34" s="6">
        <f t="shared" si="18"/>
        <v>5036.8869115342131</v>
      </c>
      <c r="L34" s="6">
        <f t="shared" si="19"/>
        <v>13729.091876038201</v>
      </c>
      <c r="M34" s="6">
        <f t="shared" si="20"/>
        <v>355505.89828405023</v>
      </c>
      <c r="N34" s="6">
        <f t="shared" si="21"/>
        <v>1734706.5700306103</v>
      </c>
      <c r="O34" s="6">
        <f t="shared" si="22"/>
        <v>132275.52854047579</v>
      </c>
      <c r="P34" s="6">
        <f t="shared" si="23"/>
        <v>31436.874577752242</v>
      </c>
      <c r="Q34" s="6">
        <f t="shared" si="24"/>
        <v>20070.081263946016</v>
      </c>
      <c r="R34" s="1">
        <v>0.05</v>
      </c>
      <c r="S34" s="1">
        <v>0.04</v>
      </c>
      <c r="T34" s="1">
        <v>0.01</v>
      </c>
      <c r="U34" s="1">
        <v>-0.03</v>
      </c>
      <c r="V34" s="1">
        <v>0.05</v>
      </c>
      <c r="W34" s="1">
        <v>0.04</v>
      </c>
      <c r="X34" s="1">
        <v>0.09</v>
      </c>
      <c r="Y34" s="1">
        <v>0.04</v>
      </c>
      <c r="Z34" s="2">
        <f>B34 / Combined_Portfolio!$B$6</f>
        <v>0.25124767760009847</v>
      </c>
      <c r="AA34" s="2">
        <f>C34 /Combined_Portfolio!$B$7</f>
        <v>0.28458343014150395</v>
      </c>
      <c r="AB34" s="2">
        <f>D34 / Combined_Portfolio!$B$8</f>
        <v>0.27319580624845569</v>
      </c>
      <c r="AC34" s="2">
        <f>E34/Combined_Portfolio!$B$9</f>
        <v>0.26018435043142946</v>
      </c>
      <c r="AD34" s="2">
        <f>F34/Combined_Portfolio!$B$10</f>
        <v>0.27630494770225295</v>
      </c>
      <c r="AE34" s="2">
        <f>G34/Combined_Portfolio!$B$11</f>
        <v>0.3316137387359418</v>
      </c>
      <c r="AF34" s="2">
        <f>H34/Combined_Portfolio!$B$12</f>
        <v>0.26394746970726907</v>
      </c>
      <c r="AG34" s="2">
        <f>I34/Combined_Portfolio!$B$13</f>
        <v>0.28589800622127187</v>
      </c>
    </row>
    <row r="35" spans="1:33" x14ac:dyDescent="0.45">
      <c r="R35" s="1">
        <v>-0.03</v>
      </c>
      <c r="S35" s="1">
        <v>0.04</v>
      </c>
      <c r="T35" s="1">
        <v>-0.02</v>
      </c>
      <c r="U35" s="1">
        <v>-0.06</v>
      </c>
      <c r="V35" s="1">
        <v>0.02</v>
      </c>
      <c r="W35" s="1">
        <v>0.01</v>
      </c>
      <c r="X35" s="1">
        <v>-0.01</v>
      </c>
      <c r="Y35" s="1">
        <v>0.02</v>
      </c>
    </row>
    <row r="39" spans="1:33" x14ac:dyDescent="0.45">
      <c r="C39" s="34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FA9B-BDCA-4DE3-83CD-CC6AD33D2CA8}">
  <dimension ref="A3:L32"/>
  <sheetViews>
    <sheetView topLeftCell="A10" zoomScale="85" zoomScaleNormal="85" workbookViewId="0">
      <selection activeCell="G8" sqref="G8"/>
    </sheetView>
  </sheetViews>
  <sheetFormatPr defaultRowHeight="14.25" x14ac:dyDescent="0.45"/>
  <cols>
    <col min="1" max="1" width="10.9296875" bestFit="1" customWidth="1"/>
    <col min="2" max="2" width="17" bestFit="1" customWidth="1"/>
    <col min="3" max="3" width="14.59765625" customWidth="1"/>
    <col min="4" max="4" width="27.86328125" bestFit="1" customWidth="1"/>
    <col min="5" max="5" width="14.265625" customWidth="1"/>
    <col min="6" max="6" width="13.265625" bestFit="1" customWidth="1"/>
    <col min="7" max="7" width="12.19921875" bestFit="1" customWidth="1"/>
    <col min="9" max="9" width="9.59765625" customWidth="1"/>
    <col min="11" max="11" width="20.33203125" bestFit="1" customWidth="1"/>
  </cols>
  <sheetData>
    <row r="3" spans="1:12" ht="29.25" x14ac:dyDescent="0.9">
      <c r="B3" s="4" t="s">
        <v>60</v>
      </c>
      <c r="C3" s="3"/>
      <c r="D3" s="3"/>
      <c r="E3" s="3"/>
    </row>
    <row r="4" spans="1:12" ht="18" x14ac:dyDescent="0.55000000000000004">
      <c r="B4" s="24" t="s">
        <v>87</v>
      </c>
    </row>
    <row r="5" spans="1:12" x14ac:dyDescent="0.45">
      <c r="A5" s="5" t="s">
        <v>61</v>
      </c>
      <c r="B5" t="s">
        <v>62</v>
      </c>
      <c r="C5" t="s">
        <v>78</v>
      </c>
      <c r="D5" t="s">
        <v>79</v>
      </c>
      <c r="E5" t="s">
        <v>80</v>
      </c>
      <c r="F5" t="s">
        <v>63</v>
      </c>
      <c r="G5" t="s">
        <v>64</v>
      </c>
      <c r="H5" t="s">
        <v>65</v>
      </c>
      <c r="I5" t="s">
        <v>85</v>
      </c>
    </row>
    <row r="6" spans="1:12" x14ac:dyDescent="0.45">
      <c r="A6" s="22" t="s">
        <v>66</v>
      </c>
      <c r="B6" s="6">
        <v>250000</v>
      </c>
      <c r="C6" s="6">
        <v>80000</v>
      </c>
      <c r="D6" s="6">
        <v>30000</v>
      </c>
      <c r="E6" s="6">
        <f>C6+D6</f>
        <v>110000</v>
      </c>
      <c r="F6" s="6">
        <f>SUM('Goals Input'!I6:I13)</f>
        <v>97000</v>
      </c>
      <c r="G6" s="6">
        <f>B6-E6-F6</f>
        <v>43000</v>
      </c>
      <c r="H6" t="str">
        <f t="shared" ref="H6:H18" si="0">IF(G6&gt;=0,"Healthy","Deficit")</f>
        <v>Healthy</v>
      </c>
      <c r="I6" s="2">
        <f t="shared" ref="I6:I18" si="1">G6/B6</f>
        <v>0.17199999999999999</v>
      </c>
    </row>
    <row r="7" spans="1:12" x14ac:dyDescent="0.45">
      <c r="A7" s="22" t="s">
        <v>67</v>
      </c>
      <c r="B7" s="6">
        <v>250000</v>
      </c>
      <c r="C7" s="6">
        <v>80000</v>
      </c>
      <c r="D7" s="6">
        <v>28000</v>
      </c>
      <c r="E7" s="6">
        <f t="shared" ref="E7:E17" si="2">C7+D7</f>
        <v>108000</v>
      </c>
      <c r="F7" s="6">
        <f>SUM('Goals Input'!I6:I13)</f>
        <v>97000</v>
      </c>
      <c r="G7" s="6">
        <f t="shared" ref="G7:G18" si="3">B7-E7-F7</f>
        <v>45000</v>
      </c>
      <c r="H7" t="str">
        <f t="shared" si="0"/>
        <v>Healthy</v>
      </c>
      <c r="I7" s="2">
        <f t="shared" si="1"/>
        <v>0.18</v>
      </c>
      <c r="K7" s="14" t="s">
        <v>137</v>
      </c>
      <c r="L7" s="14"/>
    </row>
    <row r="8" spans="1:12" x14ac:dyDescent="0.45">
      <c r="A8" s="22" t="s">
        <v>68</v>
      </c>
      <c r="B8" s="6">
        <v>250000</v>
      </c>
      <c r="C8" s="6">
        <v>80000</v>
      </c>
      <c r="D8" s="6">
        <v>32000</v>
      </c>
      <c r="E8" s="6">
        <f t="shared" si="2"/>
        <v>112000</v>
      </c>
      <c r="F8" s="6">
        <f>SUM('Goals Input'!I6:I13)</f>
        <v>97000</v>
      </c>
      <c r="G8" s="6">
        <f t="shared" si="3"/>
        <v>41000</v>
      </c>
      <c r="H8" t="str">
        <f t="shared" si="0"/>
        <v>Healthy</v>
      </c>
      <c r="I8" s="2">
        <f t="shared" si="1"/>
        <v>0.16400000000000001</v>
      </c>
      <c r="K8" s="14" t="s">
        <v>88</v>
      </c>
      <c r="L8" s="15">
        <v>0.08</v>
      </c>
    </row>
    <row r="9" spans="1:12" x14ac:dyDescent="0.45">
      <c r="A9" s="22" t="s">
        <v>69</v>
      </c>
      <c r="B9" s="6">
        <v>250000</v>
      </c>
      <c r="C9" s="6">
        <v>80000</v>
      </c>
      <c r="D9" s="6">
        <v>35000</v>
      </c>
      <c r="E9" s="6">
        <f t="shared" si="2"/>
        <v>115000</v>
      </c>
      <c r="F9" s="6">
        <f>SUM('Goals Input'!I6:I13)</f>
        <v>97000</v>
      </c>
      <c r="G9" s="6">
        <f t="shared" si="3"/>
        <v>38000</v>
      </c>
      <c r="H9" t="str">
        <f t="shared" si="0"/>
        <v>Healthy</v>
      </c>
      <c r="I9" s="2">
        <f t="shared" si="1"/>
        <v>0.152</v>
      </c>
      <c r="K9" s="14" t="s">
        <v>89</v>
      </c>
      <c r="L9" s="15">
        <v>0.06</v>
      </c>
    </row>
    <row r="10" spans="1:12" x14ac:dyDescent="0.45">
      <c r="A10" s="22" t="s">
        <v>70</v>
      </c>
      <c r="B10" s="6">
        <v>250000</v>
      </c>
      <c r="C10" s="6">
        <v>80000</v>
      </c>
      <c r="D10" s="6">
        <v>40000</v>
      </c>
      <c r="E10" s="6">
        <f t="shared" si="2"/>
        <v>120000</v>
      </c>
      <c r="F10" s="6">
        <f>SUM('Goals Input'!I6:I13)</f>
        <v>97000</v>
      </c>
      <c r="G10" s="6">
        <f t="shared" si="3"/>
        <v>33000</v>
      </c>
      <c r="H10" t="str">
        <f t="shared" si="0"/>
        <v>Healthy</v>
      </c>
      <c r="I10" s="2">
        <f t="shared" si="1"/>
        <v>0.13200000000000001</v>
      </c>
      <c r="K10" s="14" t="s">
        <v>136</v>
      </c>
      <c r="L10" s="15">
        <v>0.05</v>
      </c>
    </row>
    <row r="11" spans="1:12" x14ac:dyDescent="0.45">
      <c r="A11" s="22" t="s">
        <v>71</v>
      </c>
      <c r="B11" s="6">
        <v>250000</v>
      </c>
      <c r="C11" s="6">
        <v>80000</v>
      </c>
      <c r="D11" s="6">
        <v>45000</v>
      </c>
      <c r="E11" s="6">
        <f t="shared" si="2"/>
        <v>125000</v>
      </c>
      <c r="F11" s="6">
        <f>SUM('Goals Input'!I6:I13)</f>
        <v>97000</v>
      </c>
      <c r="G11" s="6">
        <f t="shared" si="3"/>
        <v>28000</v>
      </c>
      <c r="H11" t="str">
        <f t="shared" si="0"/>
        <v>Healthy</v>
      </c>
      <c r="I11" s="2">
        <f t="shared" si="1"/>
        <v>0.112</v>
      </c>
    </row>
    <row r="12" spans="1:12" x14ac:dyDescent="0.45">
      <c r="A12" s="22" t="s">
        <v>72</v>
      </c>
      <c r="B12" s="6">
        <v>250000</v>
      </c>
      <c r="C12" s="6">
        <v>80000</v>
      </c>
      <c r="D12" s="6">
        <v>42000</v>
      </c>
      <c r="E12" s="6">
        <f t="shared" si="2"/>
        <v>122000</v>
      </c>
      <c r="F12" s="6">
        <f>SUM('Goals Input'!I6:I13)</f>
        <v>97000</v>
      </c>
      <c r="G12" s="6">
        <f t="shared" si="3"/>
        <v>31000</v>
      </c>
      <c r="H12" t="str">
        <f t="shared" si="0"/>
        <v>Healthy</v>
      </c>
      <c r="I12" s="2">
        <f t="shared" si="1"/>
        <v>0.124</v>
      </c>
    </row>
    <row r="13" spans="1:12" x14ac:dyDescent="0.45">
      <c r="A13" s="22" t="s">
        <v>73</v>
      </c>
      <c r="B13" s="6">
        <v>250000</v>
      </c>
      <c r="C13" s="6">
        <v>80000</v>
      </c>
      <c r="D13" s="6">
        <v>38000</v>
      </c>
      <c r="E13" s="6">
        <f t="shared" si="2"/>
        <v>118000</v>
      </c>
      <c r="F13" s="6">
        <f>SUM('Goals Input'!I6:I13)</f>
        <v>97000</v>
      </c>
      <c r="G13" s="6">
        <f t="shared" si="3"/>
        <v>35000</v>
      </c>
      <c r="H13" t="str">
        <f t="shared" si="0"/>
        <v>Healthy</v>
      </c>
      <c r="I13" s="2">
        <f t="shared" si="1"/>
        <v>0.14000000000000001</v>
      </c>
    </row>
    <row r="14" spans="1:12" x14ac:dyDescent="0.45">
      <c r="A14" s="22" t="s">
        <v>74</v>
      </c>
      <c r="B14" s="6">
        <v>250000</v>
      </c>
      <c r="C14" s="6">
        <v>80000</v>
      </c>
      <c r="D14" s="6">
        <v>36000</v>
      </c>
      <c r="E14" s="6">
        <f t="shared" si="2"/>
        <v>116000</v>
      </c>
      <c r="F14" s="6">
        <f>SUM('Goals Input'!I6:I13)</f>
        <v>97000</v>
      </c>
      <c r="G14" s="6">
        <f t="shared" si="3"/>
        <v>37000</v>
      </c>
      <c r="H14" t="str">
        <f t="shared" si="0"/>
        <v>Healthy</v>
      </c>
      <c r="I14" s="2">
        <f t="shared" si="1"/>
        <v>0.14799999999999999</v>
      </c>
    </row>
    <row r="15" spans="1:12" x14ac:dyDescent="0.45">
      <c r="A15" s="22" t="s">
        <v>75</v>
      </c>
      <c r="B15" s="6">
        <v>250000</v>
      </c>
      <c r="C15" s="6">
        <v>80000</v>
      </c>
      <c r="D15" s="6">
        <v>34000</v>
      </c>
      <c r="E15" s="6">
        <f t="shared" si="2"/>
        <v>114000</v>
      </c>
      <c r="F15" s="6">
        <f>SUM('Goals Input'!I6:I13)</f>
        <v>97000</v>
      </c>
      <c r="G15" s="6">
        <f t="shared" si="3"/>
        <v>39000</v>
      </c>
      <c r="H15" t="str">
        <f t="shared" si="0"/>
        <v>Healthy</v>
      </c>
      <c r="I15" s="2">
        <f t="shared" si="1"/>
        <v>0.156</v>
      </c>
    </row>
    <row r="16" spans="1:12" x14ac:dyDescent="0.45">
      <c r="A16" s="22" t="s">
        <v>76</v>
      </c>
      <c r="B16" s="6">
        <v>250000</v>
      </c>
      <c r="C16" s="6">
        <v>80000</v>
      </c>
      <c r="D16" s="6">
        <v>30000</v>
      </c>
      <c r="E16" s="6">
        <f t="shared" si="2"/>
        <v>110000</v>
      </c>
      <c r="F16" s="6">
        <f>SUM('Goals Input'!I6:I13)</f>
        <v>97000</v>
      </c>
      <c r="G16" s="6">
        <f t="shared" si="3"/>
        <v>43000</v>
      </c>
      <c r="H16" t="str">
        <f t="shared" si="0"/>
        <v>Healthy</v>
      </c>
      <c r="I16" s="2">
        <f t="shared" si="1"/>
        <v>0.17199999999999999</v>
      </c>
    </row>
    <row r="17" spans="1:9" x14ac:dyDescent="0.45">
      <c r="A17" s="22" t="s">
        <v>77</v>
      </c>
      <c r="B17" s="6">
        <v>250000</v>
      </c>
      <c r="C17" s="6">
        <v>80000</v>
      </c>
      <c r="D17" s="6">
        <v>45000</v>
      </c>
      <c r="E17" s="6">
        <f t="shared" si="2"/>
        <v>125000</v>
      </c>
      <c r="F17" s="6">
        <f>SUM('Goals Input'!I6:I13)</f>
        <v>97000</v>
      </c>
      <c r="G17" s="6">
        <f t="shared" si="3"/>
        <v>28000</v>
      </c>
      <c r="H17" t="str">
        <f t="shared" si="0"/>
        <v>Healthy</v>
      </c>
      <c r="I17" s="2">
        <f t="shared" si="1"/>
        <v>0.112</v>
      </c>
    </row>
    <row r="18" spans="1:9" x14ac:dyDescent="0.45">
      <c r="A18" s="25" t="s">
        <v>81</v>
      </c>
      <c r="B18" s="9">
        <f>SUM(B6:B17)</f>
        <v>3000000</v>
      </c>
      <c r="C18" s="9">
        <f>SUM(C6:C17)</f>
        <v>960000</v>
      </c>
      <c r="D18" s="9">
        <f>SUM(D6:D17)</f>
        <v>435000</v>
      </c>
      <c r="E18" s="9">
        <f>SUM(C18,D18)</f>
        <v>1395000</v>
      </c>
      <c r="F18" s="9">
        <f>SUM(F6:F17)</f>
        <v>1164000</v>
      </c>
      <c r="G18" s="9">
        <f t="shared" si="3"/>
        <v>441000</v>
      </c>
      <c r="H18" s="25" t="str">
        <f t="shared" si="0"/>
        <v>Healthy</v>
      </c>
      <c r="I18" s="26">
        <f t="shared" si="1"/>
        <v>0.14699999999999999</v>
      </c>
    </row>
    <row r="21" spans="1:9" ht="18" x14ac:dyDescent="0.55000000000000004">
      <c r="B21" s="24" t="s">
        <v>86</v>
      </c>
    </row>
    <row r="22" spans="1:9" x14ac:dyDescent="0.45">
      <c r="A22" t="s">
        <v>53</v>
      </c>
      <c r="B22" t="s">
        <v>90</v>
      </c>
      <c r="C22" t="s">
        <v>80</v>
      </c>
      <c r="D22" t="s">
        <v>97</v>
      </c>
      <c r="E22" t="s">
        <v>64</v>
      </c>
      <c r="F22" t="s">
        <v>91</v>
      </c>
    </row>
    <row r="23" spans="1:9" x14ac:dyDescent="0.45">
      <c r="A23" s="22" t="s">
        <v>92</v>
      </c>
      <c r="B23" s="7">
        <f>SUM(B6:B17)</f>
        <v>3000000</v>
      </c>
      <c r="C23" s="7">
        <f>SUM(E6:E17)</f>
        <v>1395000</v>
      </c>
      <c r="D23" s="7">
        <f>SUM(F6:F17)</f>
        <v>1164000</v>
      </c>
      <c r="E23" s="7">
        <f>B23-C23-D23</f>
        <v>441000</v>
      </c>
      <c r="F23" s="1">
        <f>E23/B23</f>
        <v>0.14699999999999999</v>
      </c>
      <c r="G23" s="1"/>
      <c r="H23" s="2"/>
    </row>
    <row r="24" spans="1:9" x14ac:dyDescent="0.45">
      <c r="A24" s="22" t="s">
        <v>93</v>
      </c>
      <c r="B24" s="7">
        <f>B23*(1+$L$8)</f>
        <v>3240000</v>
      </c>
      <c r="C24" s="7">
        <f>C23*(1+$L$9)</f>
        <v>1478700</v>
      </c>
      <c r="D24" s="7">
        <f>D23*(1+5%)</f>
        <v>1222200</v>
      </c>
      <c r="E24" s="7">
        <f>B24-C24-D24</f>
        <v>539100</v>
      </c>
      <c r="F24" s="1">
        <f>E24/B24</f>
        <v>0.16638888888888889</v>
      </c>
      <c r="G24" s="1"/>
      <c r="H24" s="2"/>
    </row>
    <row r="25" spans="1:9" x14ac:dyDescent="0.45">
      <c r="A25" s="22" t="s">
        <v>94</v>
      </c>
      <c r="B25" s="7">
        <f>B24*(1+$L$8)</f>
        <v>3499200</v>
      </c>
      <c r="C25" s="7">
        <f>C24*(1+$L$9)</f>
        <v>1567422</v>
      </c>
      <c r="D25" s="7">
        <f t="shared" ref="D25:D32" si="4">D24*(1+5%)</f>
        <v>1283310</v>
      </c>
      <c r="E25" s="7">
        <f>B25-C25-D25</f>
        <v>648468</v>
      </c>
      <c r="F25" s="1">
        <f>E25/B25</f>
        <v>0.18531893004115227</v>
      </c>
      <c r="G25" s="1"/>
      <c r="H25" s="2"/>
    </row>
    <row r="26" spans="1:9" x14ac:dyDescent="0.45">
      <c r="A26" s="22" t="s">
        <v>95</v>
      </c>
      <c r="B26" s="7">
        <f>B25*(1+$L$8)</f>
        <v>3779136.0000000005</v>
      </c>
      <c r="C26" s="7">
        <f>C25*(1+$L$9)</f>
        <v>1661467.32</v>
      </c>
      <c r="D26" s="7">
        <f t="shared" si="4"/>
        <v>1347475.5</v>
      </c>
      <c r="E26" s="7">
        <f>B26-C26-D26</f>
        <v>770193.18000000063</v>
      </c>
      <c r="F26" s="1">
        <f>E26/B26</f>
        <v>0.2038013926992838</v>
      </c>
      <c r="G26" s="1"/>
      <c r="H26" s="2"/>
    </row>
    <row r="27" spans="1:9" x14ac:dyDescent="0.45">
      <c r="A27" s="22" t="s">
        <v>96</v>
      </c>
      <c r="B27" s="7">
        <f>B26*(1+$L$8)</f>
        <v>4081466.8800000008</v>
      </c>
      <c r="C27" s="7">
        <f>C26*(1+$L$9)</f>
        <v>1761155.3592000001</v>
      </c>
      <c r="D27" s="7">
        <f t="shared" si="4"/>
        <v>1414849.2750000001</v>
      </c>
      <c r="E27" s="7">
        <f>B27-C27-D27</f>
        <v>905462.24580000085</v>
      </c>
      <c r="F27" s="1">
        <f>E27/B27</f>
        <v>0.22184726041437353</v>
      </c>
      <c r="G27" s="1"/>
      <c r="H27" s="2"/>
    </row>
    <row r="28" spans="1:9" x14ac:dyDescent="0.45">
      <c r="A28" s="22" t="s">
        <v>98</v>
      </c>
      <c r="B28" s="7">
        <f t="shared" ref="B28:B32" si="5">B27*(1+$L$8)</f>
        <v>4407984.2304000016</v>
      </c>
      <c r="C28" s="7">
        <f t="shared" ref="C28:C32" si="6">C27*(1+$L$9)</f>
        <v>1866824.6807520001</v>
      </c>
      <c r="D28" s="7">
        <f t="shared" si="4"/>
        <v>1485591.7387500003</v>
      </c>
      <c r="E28" s="7">
        <f t="shared" ref="E28:E32" si="7">B28-C28-D28</f>
        <v>1055567.8108980015</v>
      </c>
      <c r="F28" s="1">
        <f t="shared" ref="F28:F32" si="8">E28/B28</f>
        <v>0.23946723847562726</v>
      </c>
    </row>
    <row r="29" spans="1:9" x14ac:dyDescent="0.45">
      <c r="A29" s="22" t="s">
        <v>99</v>
      </c>
      <c r="B29" s="7">
        <f t="shared" si="5"/>
        <v>4760622.968832002</v>
      </c>
      <c r="C29" s="7">
        <f t="shared" si="6"/>
        <v>1978834.1615971201</v>
      </c>
      <c r="D29" s="7">
        <f t="shared" si="4"/>
        <v>1559871.3256875004</v>
      </c>
      <c r="E29" s="7">
        <f t="shared" si="7"/>
        <v>1221917.4815473815</v>
      </c>
      <c r="F29" s="1">
        <f t="shared" si="8"/>
        <v>0.25667176114288537</v>
      </c>
    </row>
    <row r="30" spans="1:9" x14ac:dyDescent="0.45">
      <c r="A30" s="22" t="s">
        <v>100</v>
      </c>
      <c r="B30" s="7">
        <f t="shared" si="5"/>
        <v>5141472.8063385626</v>
      </c>
      <c r="C30" s="7">
        <f t="shared" si="6"/>
        <v>2097564.2112929476</v>
      </c>
      <c r="D30" s="7">
        <f t="shared" si="4"/>
        <v>1637864.8919718754</v>
      </c>
      <c r="E30" s="7">
        <f t="shared" si="7"/>
        <v>1406043.7030737395</v>
      </c>
      <c r="F30" s="1">
        <f t="shared" si="8"/>
        <v>0.27347099868744351</v>
      </c>
    </row>
    <row r="31" spans="1:9" x14ac:dyDescent="0.45">
      <c r="A31" s="22" t="s">
        <v>101</v>
      </c>
      <c r="B31" s="7">
        <f t="shared" si="5"/>
        <v>5552790.6308456482</v>
      </c>
      <c r="C31" s="7">
        <f t="shared" si="6"/>
        <v>2223418.0639705248</v>
      </c>
      <c r="D31" s="7">
        <f t="shared" si="4"/>
        <v>1719758.1365704692</v>
      </c>
      <c r="E31" s="7">
        <f t="shared" si="7"/>
        <v>1609614.4303046542</v>
      </c>
      <c r="F31" s="1">
        <f t="shared" si="8"/>
        <v>0.28987486424632619</v>
      </c>
    </row>
    <row r="32" spans="1:9" x14ac:dyDescent="0.45">
      <c r="A32" s="22" t="s">
        <v>102</v>
      </c>
      <c r="B32" s="7">
        <f t="shared" si="5"/>
        <v>5997013.8813133007</v>
      </c>
      <c r="C32" s="7">
        <f t="shared" si="6"/>
        <v>2356823.1478087562</v>
      </c>
      <c r="D32" s="7">
        <f t="shared" si="4"/>
        <v>1805746.0433989929</v>
      </c>
      <c r="E32" s="7">
        <f t="shared" si="7"/>
        <v>1834444.6901055516</v>
      </c>
      <c r="F32" s="1">
        <f t="shared" si="8"/>
        <v>0.30589302049503048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D085-D887-469A-B6EE-DC31C9469785}">
  <dimension ref="A1:AM135"/>
  <sheetViews>
    <sheetView showGridLines="0" tabSelected="1" zoomScale="50" zoomScaleNormal="50" workbookViewId="0">
      <selection activeCell="N66" sqref="N66"/>
    </sheetView>
  </sheetViews>
  <sheetFormatPr defaultRowHeight="14.25" x14ac:dyDescent="0.45"/>
  <cols>
    <col min="2" max="2" width="35.9296875" bestFit="1" customWidth="1"/>
    <col min="17" max="17" width="29.06640625" bestFit="1" customWidth="1"/>
    <col min="18" max="18" width="15.46484375" bestFit="1" customWidth="1"/>
    <col min="19" max="19" width="15.9296875" bestFit="1" customWidth="1"/>
    <col min="20" max="20" width="15.9296875" customWidth="1"/>
    <col min="27" max="27" width="21.59765625" customWidth="1"/>
    <col min="28" max="28" width="16.06640625" customWidth="1"/>
    <col min="35" max="36" width="12.33203125" bestFit="1" customWidth="1"/>
  </cols>
  <sheetData>
    <row r="1" spans="1:39" ht="23.65" customHeight="1" thickBot="1" x14ac:dyDescent="0.9">
      <c r="A1" s="46" t="s">
        <v>197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5" t="s">
        <v>187</v>
      </c>
      <c r="AB1" s="44">
        <v>4</v>
      </c>
      <c r="AC1" s="33"/>
    </row>
    <row r="2" spans="1:39" ht="14.25" customHeight="1" x14ac:dyDescent="0.4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33"/>
      <c r="AB2" s="33"/>
      <c r="AC2" s="33"/>
    </row>
    <row r="3" spans="1:39" ht="14.65" customHeight="1" x14ac:dyDescent="0.4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33"/>
      <c r="AB3" s="33"/>
      <c r="AC3" s="33"/>
    </row>
    <row r="4" spans="1:39" x14ac:dyDescent="0.4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39" x14ac:dyDescent="0.4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1:39" ht="21" x14ac:dyDescent="0.65">
      <c r="A6" s="35"/>
      <c r="B6" s="41" t="s">
        <v>188</v>
      </c>
      <c r="C6" s="35"/>
      <c r="D6" s="35"/>
      <c r="E6" s="35"/>
      <c r="F6" s="41" t="s">
        <v>189</v>
      </c>
      <c r="G6" s="35"/>
      <c r="H6" s="35"/>
      <c r="I6" s="35"/>
      <c r="J6" s="35"/>
      <c r="K6" s="41" t="s">
        <v>190</v>
      </c>
      <c r="L6" s="35"/>
      <c r="M6" s="35"/>
      <c r="N6" s="35"/>
      <c r="O6" s="35"/>
      <c r="P6" s="35"/>
      <c r="Q6" s="41" t="s">
        <v>193</v>
      </c>
      <c r="R6" s="35"/>
      <c r="S6" s="35"/>
      <c r="T6" s="41" t="s">
        <v>191</v>
      </c>
      <c r="U6" s="35"/>
      <c r="V6" s="35"/>
      <c r="W6" s="35"/>
      <c r="X6" s="35"/>
      <c r="Y6" s="41" t="s">
        <v>192</v>
      </c>
      <c r="Z6" s="35"/>
      <c r="AA6" s="35"/>
      <c r="AB6" s="35"/>
      <c r="AC6" s="35"/>
    </row>
    <row r="7" spans="1:39" ht="31.9" x14ac:dyDescent="1">
      <c r="A7" s="35"/>
      <c r="B7" s="40">
        <f>Simulation!I15</f>
        <v>20409920.65697404</v>
      </c>
      <c r="C7" s="35"/>
      <c r="D7" s="35"/>
      <c r="E7" s="35"/>
      <c r="F7" s="39">
        <f>COUNTA('Goals Input'!A6:A13)</f>
        <v>8</v>
      </c>
      <c r="G7" s="35"/>
      <c r="H7" s="35"/>
      <c r="I7" s="35"/>
      <c r="J7" s="36"/>
      <c r="K7" s="39">
        <f>COUNTIF(AG16:AG23,"Achieved")</f>
        <v>0</v>
      </c>
      <c r="L7" s="35"/>
      <c r="M7" s="35"/>
      <c r="N7" s="35"/>
      <c r="O7" s="35"/>
      <c r="P7" s="35"/>
      <c r="Q7" s="43">
        <f>Simulation!I15/'Goals Input'!G14</f>
        <v>0.1984991370614767</v>
      </c>
      <c r="R7" s="35"/>
      <c r="S7" s="37"/>
      <c r="T7" s="42" t="str">
        <f>IF(MAX(Table7[Year])&gt;15,
"Aggressive",
IF(MAX(Table7[Year])&gt;10,
"Growth",
IF(MAX(Table7[Year])&gt;7,
"Moderate",
IF(MAX(Table7[Year])&gt;3,
"Balanced",
"Conservative"))))</f>
        <v>Moderate</v>
      </c>
      <c r="U7" s="38" t="s">
        <v>196</v>
      </c>
      <c r="V7" s="35"/>
      <c r="W7" s="35"/>
      <c r="X7" s="35"/>
      <c r="Y7" s="39">
        <f>COUNTIF(Table21[[Overall Portfolio Rebalance Flag ]],"Rebalance Portfolio")</f>
        <v>4</v>
      </c>
      <c r="Z7" s="38" t="s">
        <v>195</v>
      </c>
      <c r="AA7" s="35"/>
      <c r="AB7" s="35"/>
      <c r="AC7" s="35"/>
      <c r="AH7" t="s">
        <v>179</v>
      </c>
      <c r="AI7" t="s">
        <v>183</v>
      </c>
      <c r="AL7" t="s">
        <v>179</v>
      </c>
      <c r="AM7" t="s">
        <v>194</v>
      </c>
    </row>
    <row r="8" spans="1:39" x14ac:dyDescent="0.45">
      <c r="A8" s="35"/>
      <c r="B8" s="35"/>
      <c r="C8" s="35"/>
      <c r="D8" s="35"/>
      <c r="E8" s="35"/>
      <c r="F8" s="35"/>
      <c r="G8" s="35"/>
      <c r="H8" s="35"/>
      <c r="I8" s="35"/>
      <c r="J8" s="36"/>
      <c r="K8" s="35"/>
      <c r="L8" s="35"/>
      <c r="M8" s="35"/>
      <c r="N8" s="35"/>
      <c r="O8" s="35"/>
      <c r="P8" s="35"/>
      <c r="Q8" s="35"/>
      <c r="R8" s="35"/>
      <c r="S8" s="37"/>
      <c r="T8" s="37"/>
      <c r="U8" s="35"/>
      <c r="V8" s="35"/>
      <c r="W8" s="35"/>
      <c r="X8" s="35"/>
      <c r="Y8" s="35"/>
      <c r="Z8" s="35"/>
      <c r="AA8" s="35"/>
      <c r="AB8" s="35"/>
      <c r="AC8" s="35"/>
      <c r="AH8" t="s">
        <v>48</v>
      </c>
      <c r="AI8" s="1">
        <f>Simulation!N15</f>
        <v>0.6</v>
      </c>
      <c r="AL8" t="s">
        <v>48</v>
      </c>
      <c r="AM8" s="20">
        <f>Combined_Portfolio!D20</f>
        <v>8.8324414019358422E-3</v>
      </c>
    </row>
    <row r="9" spans="1:39" x14ac:dyDescent="0.45">
      <c r="A9" s="35"/>
      <c r="B9" s="35"/>
      <c r="C9" s="35"/>
      <c r="D9" s="35"/>
      <c r="E9" s="35"/>
      <c r="F9" s="35"/>
      <c r="G9" s="35"/>
      <c r="H9" s="35"/>
      <c r="I9" s="35"/>
      <c r="J9" s="36"/>
      <c r="K9" s="35"/>
      <c r="L9" s="35"/>
      <c r="M9" s="35"/>
      <c r="N9" s="35"/>
      <c r="O9" s="35"/>
      <c r="P9" s="35"/>
      <c r="Q9" s="35"/>
      <c r="R9" s="35"/>
      <c r="S9" s="37"/>
      <c r="T9" s="37"/>
      <c r="U9" s="35"/>
      <c r="V9" s="35"/>
      <c r="W9" s="35"/>
      <c r="X9" s="35"/>
      <c r="Y9" s="35"/>
      <c r="Z9" s="35"/>
      <c r="AA9" s="35"/>
      <c r="AB9" s="35"/>
      <c r="AC9" s="35"/>
      <c r="AH9" t="s">
        <v>180</v>
      </c>
      <c r="AI9" s="1">
        <f>Simulation!O15</f>
        <v>0.25</v>
      </c>
      <c r="AL9" t="s">
        <v>180</v>
      </c>
      <c r="AM9" s="20">
        <f>Combined_Portfolio!D21</f>
        <v>-1.3484531921807014E-2</v>
      </c>
    </row>
    <row r="10" spans="1:39" x14ac:dyDescent="0.45">
      <c r="A10" s="35"/>
      <c r="B10" s="35"/>
      <c r="C10" s="35"/>
      <c r="D10" s="35"/>
      <c r="E10" s="35"/>
      <c r="F10" s="35"/>
      <c r="G10" s="35"/>
      <c r="H10" s="35"/>
      <c r="I10" s="35"/>
      <c r="J10" s="36"/>
      <c r="K10" s="35"/>
      <c r="L10" s="35"/>
      <c r="M10" s="35"/>
      <c r="N10" s="35"/>
      <c r="O10" s="35"/>
      <c r="P10" s="35"/>
      <c r="Q10" s="35"/>
      <c r="R10" s="35"/>
      <c r="S10" s="37"/>
      <c r="T10" s="37"/>
      <c r="U10" s="35"/>
      <c r="V10" s="35"/>
      <c r="W10" s="35"/>
      <c r="X10" s="35"/>
      <c r="Y10" s="35"/>
      <c r="Z10" s="35"/>
      <c r="AA10" s="35"/>
      <c r="AB10" s="35"/>
      <c r="AC10" s="35"/>
      <c r="AH10" t="s">
        <v>181</v>
      </c>
      <c r="AI10" s="1">
        <f>Simulation!P15</f>
        <v>0.1</v>
      </c>
      <c r="AL10" t="s">
        <v>181</v>
      </c>
      <c r="AM10" s="20">
        <f>Combined_Portfolio!D22</f>
        <v>0</v>
      </c>
    </row>
    <row r="11" spans="1:39" x14ac:dyDescent="0.4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7"/>
      <c r="T11" s="37"/>
      <c r="U11" s="35"/>
      <c r="V11" s="35"/>
      <c r="W11" s="35"/>
      <c r="X11" s="35"/>
      <c r="Y11" s="35"/>
      <c r="Z11" s="35"/>
      <c r="AA11" s="35"/>
      <c r="AB11" s="35"/>
      <c r="AC11" s="35"/>
      <c r="AH11" t="s">
        <v>182</v>
      </c>
      <c r="AI11" s="1">
        <f>Simulation!Q15</f>
        <v>0.05</v>
      </c>
      <c r="AL11" t="s">
        <v>182</v>
      </c>
      <c r="AM11" s="20">
        <f>Combined_Portfolio!D23</f>
        <v>4.6520905198713172E-3</v>
      </c>
    </row>
    <row r="12" spans="1:39" x14ac:dyDescent="0.4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7"/>
      <c r="T12" s="37"/>
      <c r="U12" s="35"/>
      <c r="V12" s="35"/>
      <c r="W12" s="35"/>
      <c r="X12" s="35"/>
      <c r="Y12" s="35"/>
      <c r="Z12" s="35"/>
      <c r="AA12" s="35"/>
      <c r="AB12" s="35"/>
      <c r="AC12" s="35"/>
    </row>
    <row r="13" spans="1:39" x14ac:dyDescent="0.4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7"/>
      <c r="T13" s="37"/>
      <c r="U13" s="35"/>
      <c r="V13" s="35"/>
      <c r="W13" s="35"/>
      <c r="X13" s="35"/>
      <c r="Y13" s="35"/>
      <c r="Z13" s="35"/>
      <c r="AA13" s="35"/>
      <c r="AB13" s="35"/>
      <c r="AC13" s="35"/>
    </row>
    <row r="14" spans="1:39" x14ac:dyDescent="0.4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37"/>
      <c r="U14" s="35"/>
      <c r="V14" s="35"/>
      <c r="W14" s="35"/>
      <c r="X14" s="35"/>
      <c r="Y14" s="35"/>
      <c r="Z14" s="35"/>
      <c r="AA14" s="35"/>
      <c r="AB14" s="35"/>
      <c r="AC14" s="35"/>
    </row>
    <row r="15" spans="1:39" x14ac:dyDescent="0.4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H15" t="s">
        <v>184</v>
      </c>
      <c r="AI15" t="s">
        <v>185</v>
      </c>
      <c r="AJ15" t="s">
        <v>186</v>
      </c>
    </row>
    <row r="16" spans="1:39" x14ac:dyDescent="0.4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G16" t="str">
        <f>IF(AJ16&gt;=AI16,"Achieved","Pending")</f>
        <v>Pending</v>
      </c>
      <c r="AH16" t="str" cm="1">
        <f t="array" ref="AH16:AH23">Table12[Goal Name]</f>
        <v>Emergency Fund</v>
      </c>
      <c r="AI16" s="32" cm="1">
        <f t="array" ref="AI16:AI23">Table12[Future Value]</f>
        <v>530000</v>
      </c>
      <c r="AJ16" s="32">
        <f>Simulation!B34</f>
        <v>133161.2691280522</v>
      </c>
    </row>
    <row r="17" spans="1:36" x14ac:dyDescent="0.4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G17" t="str">
        <f t="shared" ref="AG17:AG23" si="0">IF(AJ17&gt;=AI17,"Achieved","Pending")</f>
        <v>Pending</v>
      </c>
      <c r="AH17" t="str">
        <v>Vacation</v>
      </c>
      <c r="AI17" s="32">
        <v>224720.00000000003</v>
      </c>
      <c r="AJ17" s="32">
        <f>Simulation!C34</f>
        <v>63951.588421398774</v>
      </c>
    </row>
    <row r="18" spans="1:36" x14ac:dyDescent="0.4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G18" t="str">
        <f t="shared" si="0"/>
        <v>Pending</v>
      </c>
      <c r="AH18" t="str">
        <v>Car Down Payment</v>
      </c>
      <c r="AI18" s="32">
        <v>612521.5</v>
      </c>
      <c r="AJ18" s="32">
        <f>Simulation!D34</f>
        <v>167338.30503701346</v>
      </c>
    </row>
    <row r="19" spans="1:36" x14ac:dyDescent="0.4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G19" t="str">
        <f t="shared" si="0"/>
        <v>Pending</v>
      </c>
      <c r="AH19" t="str">
        <v>Education Fund</v>
      </c>
      <c r="AI19" s="32">
        <v>15860845.570991358</v>
      </c>
      <c r="AJ19" s="32">
        <f>Simulation!E34</f>
        <v>4126743.8021816015</v>
      </c>
    </row>
    <row r="20" spans="1:36" x14ac:dyDescent="0.4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G20" t="str">
        <f t="shared" si="0"/>
        <v>Pending</v>
      </c>
      <c r="AH20" t="str">
        <v>Retirement</v>
      </c>
      <c r="AI20" s="32">
        <v>77393689.249723583</v>
      </c>
      <c r="AJ20" s="32">
        <f>Simulation!F34</f>
        <v>21384259.260629293</v>
      </c>
    </row>
    <row r="21" spans="1:36" x14ac:dyDescent="0.4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G21" t="str">
        <f t="shared" si="0"/>
        <v>Pending</v>
      </c>
      <c r="AH21" t="str">
        <v>Marriage</v>
      </c>
      <c r="AI21" s="32">
        <v>5901454.0718686972</v>
      </c>
      <c r="AJ21" s="32">
        <f>Simulation!G34</f>
        <v>1957003.2487508261</v>
      </c>
    </row>
    <row r="22" spans="1:36" x14ac:dyDescent="0.4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G22" t="str">
        <f t="shared" si="0"/>
        <v>Pending</v>
      </c>
      <c r="AH22" t="str">
        <v>Home Upgrade</v>
      </c>
      <c r="AI22" s="32">
        <v>1402551.7307000002</v>
      </c>
      <c r="AJ22" s="32">
        <f>Simulation!H34</f>
        <v>370199.98045181611</v>
      </c>
    </row>
    <row r="23" spans="1:36" x14ac:dyDescent="0.4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G23" t="str">
        <f t="shared" si="0"/>
        <v>Pending</v>
      </c>
      <c r="AH23" t="str">
        <v>Philanthropy</v>
      </c>
      <c r="AI23" s="32">
        <v>895423.84827142733</v>
      </c>
      <c r="AJ23" s="32">
        <f>Simulation!I34</f>
        <v>255999.89294377973</v>
      </c>
    </row>
    <row r="24" spans="1:36" x14ac:dyDescent="0.4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pans="1:36" x14ac:dyDescent="0.4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1:36" x14ac:dyDescent="0.4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pans="1:36" x14ac:dyDescent="0.4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pans="1:36" x14ac:dyDescent="0.4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1:36" x14ac:dyDescent="0.4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1:36" x14ac:dyDescent="0.4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1:36" x14ac:dyDescent="0.4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1:36" x14ac:dyDescent="0.4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1:29" x14ac:dyDescent="0.4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pans="1:29" x14ac:dyDescent="0.4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1:29" x14ac:dyDescent="0.4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1:29" x14ac:dyDescent="0.4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1:29" x14ac:dyDescent="0.4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pans="1:29" x14ac:dyDescent="0.4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pans="1:29" x14ac:dyDescent="0.4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pans="1:29" x14ac:dyDescent="0.4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spans="1:29" x14ac:dyDescent="0.4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spans="1:29" x14ac:dyDescent="0.4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spans="1:29" x14ac:dyDescent="0.4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spans="1:29" x14ac:dyDescent="0.4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pans="1:29" x14ac:dyDescent="0.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pans="1:29" x14ac:dyDescent="0.4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pans="1:29" x14ac:dyDescent="0.4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pans="1:29" x14ac:dyDescent="0.4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1:29" x14ac:dyDescent="0.4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pans="1:29" x14ac:dyDescent="0.4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pans="1:29" x14ac:dyDescent="0.4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1:29" x14ac:dyDescent="0.4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spans="1:29" x14ac:dyDescent="0.4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spans="1:29" x14ac:dyDescent="0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spans="1:29" x14ac:dyDescent="0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spans="1:29" x14ac:dyDescent="0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spans="1:29" x14ac:dyDescent="0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1:29" x14ac:dyDescent="0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spans="1:29" x14ac:dyDescent="0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spans="1:29" x14ac:dyDescent="0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spans="1:29" x14ac:dyDescent="0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spans="1:29" x14ac:dyDescent="0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spans="1:29" x14ac:dyDescent="0.45">
      <c r="A63" s="35"/>
      <c r="B63" s="35"/>
      <c r="C63" s="35"/>
      <c r="D63" s="35"/>
      <c r="E63" s="35"/>
      <c r="F63" s="35"/>
      <c r="G63" s="35"/>
      <c r="H63" s="35">
        <v>3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1:29" x14ac:dyDescent="0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1:29" x14ac:dyDescent="0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spans="1:29" x14ac:dyDescent="0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spans="1:29" x14ac:dyDescent="0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spans="1:29" x14ac:dyDescent="0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1:29" x14ac:dyDescent="0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spans="1:29" x14ac:dyDescent="0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spans="1:29" x14ac:dyDescent="0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spans="1:29" x14ac:dyDescent="0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spans="1:29" x14ac:dyDescent="0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spans="1:29" x14ac:dyDescent="0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1:29" x14ac:dyDescent="0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spans="1:29" x14ac:dyDescent="0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spans="1:29" x14ac:dyDescent="0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spans="1:29" x14ac:dyDescent="0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spans="1:29" x14ac:dyDescent="0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spans="1:29" x14ac:dyDescent="0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spans="1:29" x14ac:dyDescent="0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1:29" x14ac:dyDescent="0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spans="1:29" x14ac:dyDescent="0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spans="1:29" x14ac:dyDescent="0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spans="1:29" x14ac:dyDescent="0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spans="1:29" x14ac:dyDescent="0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1:29" x14ac:dyDescent="0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1:29" x14ac:dyDescent="0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1:29" x14ac:dyDescent="0.4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spans="1:29" x14ac:dyDescent="0.4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spans="1:29" x14ac:dyDescent="0.4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spans="1:29" x14ac:dyDescent="0.4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spans="1:29" x14ac:dyDescent="0.4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spans="1:29" x14ac:dyDescent="0.4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spans="1:29" x14ac:dyDescent="0.4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spans="1:29" x14ac:dyDescent="0.4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spans="1:29" x14ac:dyDescent="0.4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spans="1:29" x14ac:dyDescent="0.4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spans="1:29" x14ac:dyDescent="0.4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spans="1:29" x14ac:dyDescent="0.4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spans="1:29" x14ac:dyDescent="0.4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spans="1:29" x14ac:dyDescent="0.4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spans="1:29" x14ac:dyDescent="0.4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spans="1:29" x14ac:dyDescent="0.4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spans="1:29" x14ac:dyDescent="0.4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spans="1:29" x14ac:dyDescent="0.4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spans="1:29" x14ac:dyDescent="0.4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spans="1:29" x14ac:dyDescent="0.4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spans="1:29" x14ac:dyDescent="0.4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spans="1:29" x14ac:dyDescent="0.4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spans="1:29" x14ac:dyDescent="0.4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spans="1:29" x14ac:dyDescent="0.4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spans="1:29" x14ac:dyDescent="0.4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spans="1:29" x14ac:dyDescent="0.4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spans="1:29" x14ac:dyDescent="0.4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spans="1:29" x14ac:dyDescent="0.4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spans="1:29" x14ac:dyDescent="0.4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spans="1:29" x14ac:dyDescent="0.4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spans="1:29" x14ac:dyDescent="0.4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spans="1:29" x14ac:dyDescent="0.4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spans="1:29" x14ac:dyDescent="0.4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spans="1:29" x14ac:dyDescent="0.4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spans="1:29" x14ac:dyDescent="0.4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spans="1:29" x14ac:dyDescent="0.4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spans="1:29" x14ac:dyDescent="0.4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spans="1:29" x14ac:dyDescent="0.4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spans="1:29" x14ac:dyDescent="0.4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spans="1:29" x14ac:dyDescent="0.4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spans="1:29" x14ac:dyDescent="0.4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spans="1:29" x14ac:dyDescent="0.4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spans="1:29" x14ac:dyDescent="0.4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spans="1:29" x14ac:dyDescent="0.4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spans="1:29" x14ac:dyDescent="0.4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spans="1:29" x14ac:dyDescent="0.4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spans="1:29" x14ac:dyDescent="0.4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</sheetData>
  <mergeCells count="1">
    <mergeCell ref="A1:Z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525E5-6F53-44CF-B33F-BDDE3D4DF059}">
          <x14:formula1>
            <xm:f>Simulation!A6:A16</xm:f>
          </x14:formula1>
          <xm:sqref>AB1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Goals Input</vt:lpstr>
      <vt:lpstr>Asset_Allocation</vt:lpstr>
      <vt:lpstr>Combined_Portfolio</vt:lpstr>
      <vt:lpstr>Simulation</vt:lpstr>
      <vt:lpstr>Cash_Flow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Mitna</dc:creator>
  <cp:lastModifiedBy>Prince Mitna</cp:lastModifiedBy>
  <dcterms:created xsi:type="dcterms:W3CDTF">2026-04-20T06:21:59Z</dcterms:created>
  <dcterms:modified xsi:type="dcterms:W3CDTF">2026-07-15T13:18:27Z</dcterms:modified>
</cp:coreProperties>
</file>